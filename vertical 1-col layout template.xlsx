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\Documents\Metalog Ribbon\"/>
    </mc:Choice>
  </mc:AlternateContent>
  <xr:revisionPtr revIDLastSave="0" documentId="13_ncr:1_{83B061C3-08EF-434A-BC02-F636D82FD0E8}" xr6:coauthVersionLast="41" xr6:coauthVersionMax="41" xr10:uidLastSave="{00000000-0000-0000-0000-000000000000}"/>
  <bookViews>
    <workbookView xWindow="4420" yWindow="2490" windowWidth="28630" windowHeight="15460" xr2:uid="{00000000-000D-0000-FFFF-FFFF00000000}"/>
  </bookViews>
  <sheets>
    <sheet name="vertical 1-col layout" sheetId="1" r:id="rId1"/>
  </sheets>
  <definedNames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PM_sparklinesForInputs" hidden="1">TRUE</definedName>
    <definedName name="PM_sparklinesForOutputs" hidden="1">TRUE</definedName>
    <definedName name="PM_sparklinesIONumberOfBins" hidden="1">10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6</definedName>
    <definedName name="RiskIsInput" hidden="1">FALSE</definedName>
    <definedName name="RiskIsOptimization" hidden="1">FALSE</definedName>
    <definedName name="RiskIsOutput" hidden="1">FALSE</definedName>
    <definedName name="RiskIsStatistics" hidden="1">FALSE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36" i="1" l="1"/>
  <c r="O36" i="1"/>
  <c r="P35" i="1"/>
  <c r="O35" i="1"/>
  <c r="F35" i="1"/>
  <c r="P34" i="1"/>
  <c r="O34" i="1"/>
  <c r="F34" i="1"/>
  <c r="P33" i="1"/>
  <c r="O33" i="1"/>
  <c r="N33" i="1"/>
  <c r="F33" i="1"/>
  <c r="Q32" i="1"/>
  <c r="F32" i="1"/>
  <c r="P31" i="1"/>
  <c r="P32" i="1" s="1"/>
  <c r="O31" i="1"/>
  <c r="O32" i="1" s="1"/>
  <c r="N31" i="1"/>
  <c r="N29" i="1" s="1"/>
  <c r="F31" i="1"/>
  <c r="P30" i="1"/>
  <c r="O30" i="1"/>
  <c r="P29" i="1"/>
  <c r="O29" i="1"/>
  <c r="P28" i="1"/>
  <c r="O28" i="1"/>
  <c r="N28" i="1"/>
  <c r="P25" i="1"/>
  <c r="O25" i="1"/>
  <c r="O26" i="1" s="1"/>
  <c r="N25" i="1"/>
  <c r="F27" i="1" s="1"/>
  <c r="D133" i="1" s="1"/>
  <c r="F26" i="1"/>
  <c r="E33" i="1" s="1"/>
  <c r="E26" i="1"/>
  <c r="E32" i="1" s="1"/>
  <c r="D26" i="1"/>
  <c r="F25" i="1"/>
  <c r="E25" i="1"/>
  <c r="D32" i="1" s="1"/>
  <c r="F24" i="1"/>
  <c r="D24" i="1"/>
  <c r="F23" i="1" s="1"/>
  <c r="O27" i="1"/>
  <c r="P27" i="1" s="1"/>
  <c r="N30" i="1" l="1"/>
  <c r="N36" i="1" s="1"/>
  <c r="Q36" i="1" s="1"/>
  <c r="N32" i="1"/>
  <c r="P26" i="1"/>
  <c r="D27" i="1"/>
  <c r="E34" i="1" s="1"/>
  <c r="E23" i="1"/>
  <c r="D53" i="1"/>
  <c r="F53" i="1" s="1"/>
  <c r="D69" i="1"/>
  <c r="D101" i="1"/>
  <c r="E101" i="1" s="1"/>
  <c r="N34" i="1"/>
  <c r="Q34" i="1" s="1"/>
  <c r="D117" i="1"/>
  <c r="E117" i="1" s="1"/>
  <c r="D85" i="1"/>
  <c r="D49" i="1"/>
  <c r="F49" i="1" s="1"/>
  <c r="D65" i="1"/>
  <c r="D81" i="1"/>
  <c r="D97" i="1"/>
  <c r="D113" i="1"/>
  <c r="F113" i="1" s="1"/>
  <c r="D129" i="1"/>
  <c r="F129" i="1" s="1"/>
  <c r="D45" i="1"/>
  <c r="D61" i="1"/>
  <c r="D77" i="1"/>
  <c r="E77" i="1" s="1"/>
  <c r="D93" i="1"/>
  <c r="F93" i="1" s="1"/>
  <c r="D109" i="1"/>
  <c r="D125" i="1"/>
  <c r="D137" i="1"/>
  <c r="E137" i="1" s="1"/>
  <c r="E31" i="1"/>
  <c r="D141" i="1"/>
  <c r="D135" i="1"/>
  <c r="F135" i="1" s="1"/>
  <c r="D131" i="1"/>
  <c r="E131" i="1" s="1"/>
  <c r="D127" i="1"/>
  <c r="F127" i="1" s="1"/>
  <c r="D123" i="1"/>
  <c r="D119" i="1"/>
  <c r="D115" i="1"/>
  <c r="E115" i="1" s="1"/>
  <c r="D111" i="1"/>
  <c r="F111" i="1" s="1"/>
  <c r="D107" i="1"/>
  <c r="E107" i="1" s="1"/>
  <c r="D103" i="1"/>
  <c r="D99" i="1"/>
  <c r="E99" i="1" s="1"/>
  <c r="D95" i="1"/>
  <c r="E95" i="1" s="1"/>
  <c r="D91" i="1"/>
  <c r="F91" i="1" s="1"/>
  <c r="D87" i="1"/>
  <c r="D83" i="1"/>
  <c r="E83" i="1" s="1"/>
  <c r="D79" i="1"/>
  <c r="E79" i="1" s="1"/>
  <c r="D75" i="1"/>
  <c r="E75" i="1" s="1"/>
  <c r="D71" i="1"/>
  <c r="D67" i="1"/>
  <c r="E67" i="1" s="1"/>
  <c r="D63" i="1"/>
  <c r="E63" i="1" s="1"/>
  <c r="D59" i="1"/>
  <c r="D55" i="1"/>
  <c r="D51" i="1"/>
  <c r="E51" i="1" s="1"/>
  <c r="D47" i="1"/>
  <c r="E47" i="1" s="1"/>
  <c r="D43" i="1"/>
  <c r="E43" i="1" s="1"/>
  <c r="D39" i="1"/>
  <c r="D138" i="1"/>
  <c r="F138" i="1" s="1"/>
  <c r="D136" i="1"/>
  <c r="F136" i="1" s="1"/>
  <c r="D132" i="1"/>
  <c r="D128" i="1"/>
  <c r="E128" i="1" s="1"/>
  <c r="D124" i="1"/>
  <c r="E124" i="1" s="1"/>
  <c r="D120" i="1"/>
  <c r="F120" i="1" s="1"/>
  <c r="D116" i="1"/>
  <c r="D112" i="1"/>
  <c r="E112" i="1" s="1"/>
  <c r="D108" i="1"/>
  <c r="E108" i="1" s="1"/>
  <c r="D104" i="1"/>
  <c r="D100" i="1"/>
  <c r="F100" i="1" s="1"/>
  <c r="D96" i="1"/>
  <c r="E96" i="1" s="1"/>
  <c r="D92" i="1"/>
  <c r="E92" i="1" s="1"/>
  <c r="D88" i="1"/>
  <c r="D84" i="1"/>
  <c r="E84" i="1" s="1"/>
  <c r="D80" i="1"/>
  <c r="E80" i="1" s="1"/>
  <c r="D76" i="1"/>
  <c r="D72" i="1"/>
  <c r="D68" i="1"/>
  <c r="F68" i="1" s="1"/>
  <c r="D64" i="1"/>
  <c r="F64" i="1" s="1"/>
  <c r="F61" i="1"/>
  <c r="D60" i="1"/>
  <c r="D56" i="1"/>
  <c r="F56" i="1" s="1"/>
  <c r="D52" i="1"/>
  <c r="E52" i="1" s="1"/>
  <c r="D48" i="1"/>
  <c r="E48" i="1" s="1"/>
  <c r="F45" i="1"/>
  <c r="D44" i="1"/>
  <c r="E44" i="1" s="1"/>
  <c r="D40" i="1"/>
  <c r="F40" i="1" s="1"/>
  <c r="D140" i="1"/>
  <c r="F140" i="1" s="1"/>
  <c r="E133" i="1"/>
  <c r="E45" i="1"/>
  <c r="D142" i="1"/>
  <c r="F142" i="1" s="1"/>
  <c r="D139" i="1"/>
  <c r="F139" i="1" s="1"/>
  <c r="D134" i="1"/>
  <c r="E134" i="1" s="1"/>
  <c r="D130" i="1"/>
  <c r="E130" i="1" s="1"/>
  <c r="D126" i="1"/>
  <c r="E126" i="1" s="1"/>
  <c r="D122" i="1"/>
  <c r="F122" i="1" s="1"/>
  <c r="D118" i="1"/>
  <c r="F118" i="1" s="1"/>
  <c r="D114" i="1"/>
  <c r="E114" i="1" s="1"/>
  <c r="D110" i="1"/>
  <c r="E110" i="1" s="1"/>
  <c r="D106" i="1"/>
  <c r="F106" i="1" s="1"/>
  <c r="D102" i="1"/>
  <c r="E102" i="1" s="1"/>
  <c r="D98" i="1"/>
  <c r="F98" i="1" s="1"/>
  <c r="D94" i="1"/>
  <c r="E94" i="1" s="1"/>
  <c r="D90" i="1"/>
  <c r="F90" i="1" s="1"/>
  <c r="D86" i="1"/>
  <c r="F86" i="1" s="1"/>
  <c r="D82" i="1"/>
  <c r="E82" i="1" s="1"/>
  <c r="D78" i="1"/>
  <c r="F78" i="1" s="1"/>
  <c r="D74" i="1"/>
  <c r="F74" i="1" s="1"/>
  <c r="D70" i="1"/>
  <c r="E70" i="1" s="1"/>
  <c r="D66" i="1"/>
  <c r="E66" i="1" s="1"/>
  <c r="F63" i="1"/>
  <c r="D62" i="1"/>
  <c r="E62" i="1" s="1"/>
  <c r="D58" i="1"/>
  <c r="F58" i="1" s="1"/>
  <c r="D54" i="1"/>
  <c r="F54" i="1" s="1"/>
  <c r="D50" i="1"/>
  <c r="F50" i="1" s="1"/>
  <c r="D46" i="1"/>
  <c r="E46" i="1" s="1"/>
  <c r="D42" i="1"/>
  <c r="F42" i="1" s="1"/>
  <c r="D38" i="1"/>
  <c r="E38" i="1" s="1"/>
  <c r="D41" i="1"/>
  <c r="E41" i="1" s="1"/>
  <c r="D57" i="1"/>
  <c r="F57" i="1" s="1"/>
  <c r="D73" i="1"/>
  <c r="E73" i="1" s="1"/>
  <c r="D89" i="1"/>
  <c r="F89" i="1" s="1"/>
  <c r="D105" i="1"/>
  <c r="E105" i="1" s="1"/>
  <c r="D121" i="1"/>
  <c r="F121" i="1" s="1"/>
  <c r="F143" i="1"/>
  <c r="D31" i="1"/>
  <c r="E143" i="1"/>
  <c r="F37" i="1"/>
  <c r="D143" i="1"/>
  <c r="E37" i="1"/>
  <c r="D37" i="1"/>
  <c r="D34" i="1"/>
  <c r="N26" i="1"/>
  <c r="E24" i="1" s="1"/>
  <c r="E111" i="1" l="1"/>
  <c r="F107" i="1"/>
  <c r="E49" i="1"/>
  <c r="E141" i="1"/>
  <c r="F65" i="1"/>
  <c r="F67" i="1"/>
  <c r="E27" i="1"/>
  <c r="E53" i="1"/>
  <c r="F79" i="1"/>
  <c r="E65" i="1"/>
  <c r="F72" i="1"/>
  <c r="F101" i="1"/>
  <c r="F132" i="1"/>
  <c r="E55" i="1"/>
  <c r="E87" i="1"/>
  <c r="E119" i="1"/>
  <c r="E125" i="1"/>
  <c r="E97" i="1"/>
  <c r="E69" i="1"/>
  <c r="E76" i="1"/>
  <c r="F104" i="1"/>
  <c r="F133" i="1"/>
  <c r="E59" i="1"/>
  <c r="E91" i="1"/>
  <c r="E123" i="1"/>
  <c r="E109" i="1"/>
  <c r="E81" i="1"/>
  <c r="E60" i="1"/>
  <c r="F88" i="1"/>
  <c r="E116" i="1"/>
  <c r="E39" i="1"/>
  <c r="E71" i="1"/>
  <c r="E103" i="1"/>
  <c r="E135" i="1"/>
  <c r="E61" i="1"/>
  <c r="E85" i="1"/>
  <c r="F55" i="1"/>
  <c r="F119" i="1"/>
  <c r="E136" i="1"/>
  <c r="F83" i="1"/>
  <c r="F126" i="1"/>
  <c r="F97" i="1"/>
  <c r="F87" i="1"/>
  <c r="N35" i="1"/>
  <c r="Q35" i="1" s="1"/>
  <c r="Q30" i="1" s="1"/>
  <c r="Q28" i="1" s="1"/>
  <c r="F128" i="1"/>
  <c r="E93" i="1"/>
  <c r="E40" i="1"/>
  <c r="E74" i="1"/>
  <c r="F69" i="1"/>
  <c r="E64" i="1"/>
  <c r="E68" i="1"/>
  <c r="F39" i="1"/>
  <c r="F103" i="1"/>
  <c r="F134" i="1"/>
  <c r="F73" i="1"/>
  <c r="F43" i="1"/>
  <c r="F76" i="1"/>
  <c r="E89" i="1"/>
  <c r="F62" i="1"/>
  <c r="F47" i="1"/>
  <c r="E122" i="1"/>
  <c r="E104" i="1"/>
  <c r="E132" i="1"/>
  <c r="F96" i="1"/>
  <c r="F71" i="1"/>
  <c r="F105" i="1"/>
  <c r="F70" i="1"/>
  <c r="E127" i="1"/>
  <c r="F131" i="1"/>
  <c r="E113" i="1"/>
  <c r="E129" i="1"/>
  <c r="F137" i="1"/>
  <c r="F125" i="1"/>
  <c r="F46" i="1"/>
  <c r="F109" i="1"/>
  <c r="F51" i="1"/>
  <c r="F99" i="1"/>
  <c r="F115" i="1"/>
  <c r="E106" i="1"/>
  <c r="E72" i="1"/>
  <c r="F60" i="1"/>
  <c r="F80" i="1"/>
  <c r="F124" i="1"/>
  <c r="F82" i="1"/>
  <c r="F95" i="1"/>
  <c r="F110" i="1"/>
  <c r="E78" i="1"/>
  <c r="F94" i="1"/>
  <c r="F41" i="1"/>
  <c r="F108" i="1"/>
  <c r="F85" i="1"/>
  <c r="F117" i="1"/>
  <c r="E100" i="1"/>
  <c r="F44" i="1"/>
  <c r="E139" i="1"/>
  <c r="F59" i="1"/>
  <c r="F75" i="1"/>
  <c r="F123" i="1"/>
  <c r="E42" i="1"/>
  <c r="E140" i="1"/>
  <c r="F48" i="1"/>
  <c r="F92" i="1"/>
  <c r="F112" i="1"/>
  <c r="E57" i="1"/>
  <c r="F77" i="1"/>
  <c r="F66" i="1"/>
  <c r="I37" i="1"/>
  <c r="E121" i="1"/>
  <c r="F130" i="1"/>
  <c r="K136" i="1"/>
  <c r="E54" i="1"/>
  <c r="E86" i="1"/>
  <c r="E118" i="1"/>
  <c r="E142" i="1"/>
  <c r="I35" i="1" s="1"/>
  <c r="E50" i="1"/>
  <c r="E58" i="1"/>
  <c r="E90" i="1"/>
  <c r="F81" i="1"/>
  <c r="F52" i="1"/>
  <c r="F84" i="1"/>
  <c r="F116" i="1"/>
  <c r="F114" i="1"/>
  <c r="F102" i="1"/>
  <c r="F38" i="1"/>
  <c r="K37" i="1" s="1"/>
  <c r="F141" i="1"/>
  <c r="E98" i="1"/>
  <c r="E56" i="1"/>
  <c r="E88" i="1"/>
  <c r="E120" i="1"/>
  <c r="E138" i="1"/>
  <c r="D35" i="1" l="1"/>
  <c r="E35" i="1"/>
  <c r="I38" i="1"/>
  <c r="Q29" i="1"/>
  <c r="Q23" i="1" s="1"/>
  <c r="Q22" i="1"/>
  <c r="Q21" i="1" l="1"/>
  <c r="Q25" i="1" s="1"/>
  <c r="Q26" i="1" s="1"/>
  <c r="J38" i="1"/>
  <c r="K38" i="1" s="1"/>
  <c r="I39" i="1"/>
  <c r="I40" i="1" l="1"/>
  <c r="J39" i="1"/>
  <c r="K39" i="1" s="1"/>
  <c r="I41" i="1" l="1"/>
  <c r="J40" i="1"/>
  <c r="K40" i="1" s="1"/>
  <c r="J41" i="1" l="1"/>
  <c r="K41" i="1" s="1"/>
  <c r="I42" i="1"/>
  <c r="J42" i="1" l="1"/>
  <c r="K42" i="1" s="1"/>
  <c r="I43" i="1"/>
  <c r="I44" i="1" l="1"/>
  <c r="J43" i="1"/>
  <c r="K43" i="1" s="1"/>
  <c r="I45" i="1" l="1"/>
  <c r="J44" i="1"/>
  <c r="K44" i="1" s="1"/>
  <c r="J45" i="1" l="1"/>
  <c r="K45" i="1" s="1"/>
  <c r="I46" i="1"/>
  <c r="J46" i="1" l="1"/>
  <c r="K46" i="1" s="1"/>
  <c r="I47" i="1"/>
  <c r="J47" i="1" l="1"/>
  <c r="K47" i="1" s="1"/>
  <c r="I48" i="1"/>
  <c r="I49" i="1" l="1"/>
  <c r="J48" i="1"/>
  <c r="K48" i="1" s="1"/>
  <c r="J49" i="1" l="1"/>
  <c r="K49" i="1" s="1"/>
  <c r="I50" i="1"/>
  <c r="J50" i="1" l="1"/>
  <c r="K50" i="1" s="1"/>
  <c r="I51" i="1"/>
  <c r="I52" i="1" l="1"/>
  <c r="J51" i="1"/>
  <c r="K51" i="1" s="1"/>
  <c r="I53" i="1" l="1"/>
  <c r="J52" i="1"/>
  <c r="K52" i="1" s="1"/>
  <c r="J53" i="1" l="1"/>
  <c r="K53" i="1" s="1"/>
  <c r="I54" i="1"/>
  <c r="J54" i="1" l="1"/>
  <c r="K54" i="1" s="1"/>
  <c r="I55" i="1"/>
  <c r="I56" i="1" l="1"/>
  <c r="J55" i="1"/>
  <c r="K55" i="1" s="1"/>
  <c r="I57" i="1" l="1"/>
  <c r="J56" i="1"/>
  <c r="K56" i="1" s="1"/>
  <c r="J57" i="1" l="1"/>
  <c r="K57" i="1" s="1"/>
  <c r="I58" i="1"/>
  <c r="J58" i="1" l="1"/>
  <c r="K58" i="1" s="1"/>
  <c r="I59" i="1"/>
  <c r="I60" i="1" l="1"/>
  <c r="J59" i="1"/>
  <c r="K59" i="1" s="1"/>
  <c r="I61" i="1" l="1"/>
  <c r="J60" i="1"/>
  <c r="K60" i="1" s="1"/>
  <c r="J61" i="1" l="1"/>
  <c r="K61" i="1" s="1"/>
  <c r="I62" i="1"/>
  <c r="J62" i="1" l="1"/>
  <c r="K62" i="1" s="1"/>
  <c r="I63" i="1"/>
  <c r="I64" i="1" l="1"/>
  <c r="J63" i="1"/>
  <c r="K63" i="1" s="1"/>
  <c r="I65" i="1" l="1"/>
  <c r="J64" i="1"/>
  <c r="K64" i="1" s="1"/>
  <c r="J65" i="1" l="1"/>
  <c r="K65" i="1" s="1"/>
  <c r="I66" i="1"/>
  <c r="J66" i="1" l="1"/>
  <c r="K66" i="1" s="1"/>
  <c r="I67" i="1"/>
  <c r="I68" i="1" l="1"/>
  <c r="J67" i="1"/>
  <c r="K67" i="1" s="1"/>
  <c r="I69" i="1" l="1"/>
  <c r="J68" i="1"/>
  <c r="K68" i="1" s="1"/>
  <c r="J69" i="1" l="1"/>
  <c r="K69" i="1" s="1"/>
  <c r="I70" i="1"/>
  <c r="J70" i="1" l="1"/>
  <c r="K70" i="1" s="1"/>
  <c r="I71" i="1"/>
  <c r="I72" i="1" l="1"/>
  <c r="J71" i="1"/>
  <c r="K71" i="1" s="1"/>
  <c r="I73" i="1" l="1"/>
  <c r="J72" i="1"/>
  <c r="K72" i="1" s="1"/>
  <c r="J73" i="1" l="1"/>
  <c r="K73" i="1" s="1"/>
  <c r="I74" i="1"/>
  <c r="J74" i="1" l="1"/>
  <c r="K74" i="1" s="1"/>
  <c r="I75" i="1"/>
  <c r="I76" i="1" l="1"/>
  <c r="J75" i="1"/>
  <c r="K75" i="1" s="1"/>
  <c r="I77" i="1" l="1"/>
  <c r="J76" i="1"/>
  <c r="K76" i="1" s="1"/>
  <c r="J77" i="1" l="1"/>
  <c r="K77" i="1" s="1"/>
  <c r="I78" i="1"/>
  <c r="J78" i="1" l="1"/>
  <c r="K78" i="1" s="1"/>
  <c r="I79" i="1"/>
  <c r="J79" i="1" l="1"/>
  <c r="K79" i="1" s="1"/>
  <c r="I80" i="1"/>
  <c r="I81" i="1" l="1"/>
  <c r="J80" i="1"/>
  <c r="K80" i="1" s="1"/>
  <c r="J81" i="1" l="1"/>
  <c r="K81" i="1" s="1"/>
  <c r="I82" i="1"/>
  <c r="J82" i="1" l="1"/>
  <c r="K82" i="1" s="1"/>
  <c r="I83" i="1"/>
  <c r="I84" i="1" l="1"/>
  <c r="J83" i="1"/>
  <c r="K83" i="1" s="1"/>
  <c r="I85" i="1" l="1"/>
  <c r="J84" i="1"/>
  <c r="K84" i="1" s="1"/>
  <c r="J85" i="1" l="1"/>
  <c r="K85" i="1" s="1"/>
  <c r="I86" i="1"/>
  <c r="J86" i="1" l="1"/>
  <c r="K86" i="1" s="1"/>
  <c r="I87" i="1"/>
  <c r="I88" i="1" l="1"/>
  <c r="J87" i="1"/>
  <c r="K87" i="1" s="1"/>
  <c r="I89" i="1" l="1"/>
  <c r="J88" i="1"/>
  <c r="K88" i="1" s="1"/>
  <c r="J89" i="1" l="1"/>
  <c r="K89" i="1" s="1"/>
  <c r="I90" i="1"/>
  <c r="J90" i="1" l="1"/>
  <c r="K90" i="1" s="1"/>
  <c r="I91" i="1"/>
  <c r="I92" i="1" l="1"/>
  <c r="J91" i="1"/>
  <c r="K91" i="1" s="1"/>
  <c r="I93" i="1" l="1"/>
  <c r="J92" i="1"/>
  <c r="K92" i="1" s="1"/>
  <c r="J93" i="1" l="1"/>
  <c r="K93" i="1" s="1"/>
  <c r="I94" i="1"/>
  <c r="J94" i="1" l="1"/>
  <c r="K94" i="1" s="1"/>
  <c r="I95" i="1"/>
  <c r="J95" i="1" l="1"/>
  <c r="K95" i="1" s="1"/>
  <c r="I96" i="1"/>
  <c r="I97" i="1" l="1"/>
  <c r="J96" i="1"/>
  <c r="K96" i="1" s="1"/>
  <c r="J97" i="1" l="1"/>
  <c r="K97" i="1" s="1"/>
  <c r="I98" i="1"/>
  <c r="J98" i="1" l="1"/>
  <c r="K98" i="1" s="1"/>
  <c r="I99" i="1"/>
  <c r="I100" i="1" l="1"/>
  <c r="J99" i="1"/>
  <c r="K99" i="1" s="1"/>
  <c r="I101" i="1" l="1"/>
  <c r="J100" i="1"/>
  <c r="K100" i="1" s="1"/>
  <c r="J101" i="1" l="1"/>
  <c r="K101" i="1" s="1"/>
  <c r="I102" i="1"/>
  <c r="J102" i="1" l="1"/>
  <c r="K102" i="1" s="1"/>
  <c r="I103" i="1"/>
  <c r="I104" i="1" l="1"/>
  <c r="J103" i="1"/>
  <c r="K103" i="1" s="1"/>
  <c r="I105" i="1" l="1"/>
  <c r="J104" i="1"/>
  <c r="K104" i="1" s="1"/>
  <c r="J105" i="1" l="1"/>
  <c r="K105" i="1" s="1"/>
  <c r="I106" i="1"/>
  <c r="J106" i="1" l="1"/>
  <c r="K106" i="1" s="1"/>
  <c r="I107" i="1"/>
  <c r="I108" i="1" l="1"/>
  <c r="J107" i="1"/>
  <c r="K107" i="1" s="1"/>
  <c r="I109" i="1" l="1"/>
  <c r="J108" i="1"/>
  <c r="K108" i="1" s="1"/>
  <c r="J109" i="1" l="1"/>
  <c r="K109" i="1" s="1"/>
  <c r="I110" i="1"/>
  <c r="J110" i="1" l="1"/>
  <c r="K110" i="1" s="1"/>
  <c r="I111" i="1"/>
  <c r="I112" i="1" l="1"/>
  <c r="J111" i="1"/>
  <c r="K111" i="1" s="1"/>
  <c r="I113" i="1" l="1"/>
  <c r="J112" i="1"/>
  <c r="K112" i="1" s="1"/>
  <c r="J113" i="1" l="1"/>
  <c r="K113" i="1" s="1"/>
  <c r="I114" i="1"/>
  <c r="J114" i="1" l="1"/>
  <c r="K114" i="1" s="1"/>
  <c r="I115" i="1"/>
  <c r="I116" i="1" l="1"/>
  <c r="J115" i="1"/>
  <c r="K115" i="1" s="1"/>
  <c r="I117" i="1" l="1"/>
  <c r="J116" i="1"/>
  <c r="K116" i="1" s="1"/>
  <c r="J117" i="1" l="1"/>
  <c r="K117" i="1" s="1"/>
  <c r="I118" i="1"/>
  <c r="J118" i="1" l="1"/>
  <c r="K118" i="1" s="1"/>
  <c r="I119" i="1"/>
  <c r="I120" i="1" l="1"/>
  <c r="J119" i="1"/>
  <c r="K119" i="1" s="1"/>
  <c r="I121" i="1" l="1"/>
  <c r="J120" i="1"/>
  <c r="K120" i="1" s="1"/>
  <c r="J121" i="1" l="1"/>
  <c r="K121" i="1" s="1"/>
  <c r="I122" i="1"/>
  <c r="J122" i="1" l="1"/>
  <c r="K122" i="1" s="1"/>
  <c r="I123" i="1"/>
  <c r="I124" i="1" l="1"/>
  <c r="J123" i="1"/>
  <c r="K123" i="1" s="1"/>
  <c r="I125" i="1" l="1"/>
  <c r="J124" i="1"/>
  <c r="K124" i="1" s="1"/>
  <c r="J125" i="1" l="1"/>
  <c r="K125" i="1" s="1"/>
  <c r="I126" i="1"/>
  <c r="J126" i="1" l="1"/>
  <c r="K126" i="1" s="1"/>
  <c r="I127" i="1"/>
  <c r="J127" i="1" l="1"/>
  <c r="K127" i="1" s="1"/>
  <c r="I128" i="1"/>
  <c r="I129" i="1" l="1"/>
  <c r="J128" i="1"/>
  <c r="K128" i="1" s="1"/>
  <c r="J129" i="1" l="1"/>
  <c r="K129" i="1" s="1"/>
  <c r="I130" i="1"/>
  <c r="J130" i="1" l="1"/>
  <c r="K130" i="1" s="1"/>
  <c r="I131" i="1"/>
  <c r="I132" i="1" l="1"/>
  <c r="J131" i="1"/>
  <c r="K131" i="1" s="1"/>
  <c r="I133" i="1" l="1"/>
  <c r="J132" i="1"/>
  <c r="K132" i="1" s="1"/>
  <c r="J133" i="1" l="1"/>
  <c r="K133" i="1" s="1"/>
  <c r="I134" i="1"/>
  <c r="J134" i="1" l="1"/>
  <c r="K134" i="1" s="1"/>
  <c r="I135" i="1"/>
  <c r="J135" i="1" l="1"/>
  <c r="K135" i="1" s="1"/>
  <c r="I136" i="1"/>
  <c r="J13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</author>
  </authors>
  <commentList>
    <comment ref="L27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Prepared by Tom Keelin, April 15, 2017.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<sst xmlns="http://schemas.openxmlformats.org/spreadsheetml/2006/main" count="53" uniqueCount="50">
  <si>
    <t>metalog</t>
  </si>
  <si>
    <t>var name</t>
  </si>
  <si>
    <t>metalog_1</t>
  </si>
  <si>
    <t>metalog_2</t>
  </si>
  <si>
    <t>metalog_3</t>
  </si>
  <si>
    <t>sum</t>
  </si>
  <si>
    <t>distribution</t>
  </si>
  <si>
    <t>CDF-x</t>
  </si>
  <si>
    <t>prob-y</t>
  </si>
  <si>
    <t>plot</t>
  </si>
  <si>
    <t>low prob</t>
  </si>
  <si>
    <t>metalog chart data</t>
  </si>
  <si>
    <t>bounds</t>
  </si>
  <si>
    <t>u</t>
  </si>
  <si>
    <t>sl</t>
  </si>
  <si>
    <t>su</t>
  </si>
  <si>
    <t>plot data</t>
  </si>
  <si>
    <t>input data</t>
  </si>
  <si>
    <t>lower bnd</t>
  </si>
  <si>
    <t>low</t>
  </si>
  <si>
    <t>median</t>
  </si>
  <si>
    <t>high</t>
  </si>
  <si>
    <t>upper bnd</t>
  </si>
  <si>
    <t>tutorial</t>
  </si>
  <si>
    <t>message</t>
  </si>
  <si>
    <t>probability</t>
  </si>
  <si>
    <t>CDF</t>
  </si>
  <si>
    <t>PDF</t>
  </si>
  <si>
    <t>intermediate</t>
  </si>
  <si>
    <r>
      <t>a</t>
    </r>
    <r>
      <rPr>
        <vertAlign val="subscript"/>
        <sz val="11"/>
        <color theme="1"/>
        <rFont val="Calibri"/>
        <family val="2"/>
        <scheme val="minor"/>
      </rPr>
      <t>1</t>
    </r>
  </si>
  <si>
    <t>calculations</t>
  </si>
  <si>
    <r>
      <t>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/>
    </r>
  </si>
  <si>
    <t>on=1,off=0 -&gt;</t>
  </si>
  <si>
    <r>
      <t>a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/>
    </r>
  </si>
  <si>
    <t>a</t>
  </si>
  <si>
    <r>
      <t>k</t>
    </r>
    <r>
      <rPr>
        <vertAlign val="subscript"/>
        <sz val="11"/>
        <color theme="1"/>
        <rFont val="Symbol"/>
        <family val="1"/>
        <charset val="2"/>
      </rPr>
      <t>a</t>
    </r>
  </si>
  <si>
    <t>r</t>
  </si>
  <si>
    <t>sparkline pdf</t>
  </si>
  <si>
    <t>moments</t>
  </si>
  <si>
    <t>mean</t>
  </si>
  <si>
    <t xml:space="preserve"> </t>
  </si>
  <si>
    <t>variance</t>
  </si>
  <si>
    <t>cumulative and density data</t>
  </si>
  <si>
    <t>index</t>
  </si>
  <si>
    <t>x</t>
  </si>
  <si>
    <t>lo index</t>
  </si>
  <si>
    <t>y'</t>
  </si>
  <si>
    <t>skewness</t>
  </si>
  <si>
    <t>show</t>
  </si>
  <si>
    <t>Version 7, 2019 Dec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</si>
</sst>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color rgb="FFCCFFCC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i/>
      <u/>
      <sz val="9"/>
      <color theme="10"/>
      <name val="Calibri"/>
      <family val="2"/>
      <scheme val="minor"/>
    </font>
    <font>
      <sz val="9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vertAlign val="subscript"/>
      <sz val="11"/>
      <color theme="1"/>
      <name val="Symbol"/>
      <family val="1"/>
      <charset val="2"/>
    </font>
    <font>
      <i/>
      <sz val="11"/>
      <color theme="0" tint="-0.49998474074526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8">
    <xf numFmtId="0" fontId="0" fillId="0" borderId="0" xfId="0"/>
    <xf numFmtId="0" fontId="0" fillId="0" borderId="1" xfId="0" applyBorder="1"/>
    <xf numFmtId="0" fontId="2" fillId="0" borderId="0" xfId="0" applyFont="1"/>
    <xf numFmtId="0" fontId="0" fillId="2" borderId="2" xfId="0" applyFill="1" applyBorder="1" applyAlignment="1">
      <alignment horizontal="centerContinuous"/>
    </xf>
    <xf numFmtId="0" fontId="0" fillId="2" borderId="3" xfId="0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2" borderId="6" xfId="0" applyFill="1" applyBorder="1" applyAlignment="1">
      <alignment horizontal="centerContinuous"/>
    </xf>
    <xf numFmtId="0" fontId="2" fillId="2" borderId="6" xfId="0" applyFont="1" applyFill="1" applyBorder="1" applyAlignment="1">
      <alignment horizontal="centerContinuous"/>
    </xf>
    <xf numFmtId="2" fontId="0" fillId="2" borderId="4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2" fontId="0" fillId="3" borderId="4" xfId="0" applyNumberFormat="1" applyFill="1" applyBorder="1" applyAlignment="1">
      <alignment horizontal="center"/>
    </xf>
    <xf numFmtId="2" fontId="0" fillId="3" borderId="5" xfId="0" applyNumberFormat="1" applyFill="1" applyBorder="1" applyAlignment="1">
      <alignment horizontal="center"/>
    </xf>
    <xf numFmtId="0" fontId="0" fillId="2" borderId="7" xfId="0" applyFill="1" applyBorder="1" applyAlignment="1">
      <alignment horizontal="centerContinuous"/>
    </xf>
    <xf numFmtId="0" fontId="0" fillId="2" borderId="8" xfId="0" applyFill="1" applyBorder="1" applyAlignment="1">
      <alignment horizontal="centerContinuous"/>
    </xf>
    <xf numFmtId="0" fontId="0" fillId="2" borderId="9" xfId="0" applyFill="1" applyBorder="1" applyAlignment="1">
      <alignment horizontal="centerContinuous"/>
    </xf>
    <xf numFmtId="0" fontId="0" fillId="3" borderId="4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2" fillId="2" borderId="10" xfId="0" applyFont="1" applyFill="1" applyBorder="1" applyAlignment="1">
      <alignment horizontal="centerContinuous"/>
    </xf>
    <xf numFmtId="0" fontId="2" fillId="2" borderId="0" xfId="0" applyFont="1" applyFill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3" fillId="3" borderId="10" xfId="0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4" fillId="2" borderId="1" xfId="0" applyFont="1" applyFill="1" applyBorder="1" applyAlignment="1">
      <alignment horizontal="right"/>
    </xf>
    <xf numFmtId="0" fontId="5" fillId="2" borderId="11" xfId="0" applyFont="1" applyFill="1" applyBorder="1" applyAlignment="1">
      <alignment horizontal="right"/>
    </xf>
    <xf numFmtId="0" fontId="0" fillId="2" borderId="5" xfId="0" applyFill="1" applyBorder="1" applyAlignment="1">
      <alignment horizontal="center"/>
    </xf>
    <xf numFmtId="1" fontId="6" fillId="2" borderId="10" xfId="0" applyNumberFormat="1" applyFont="1" applyFill="1" applyBorder="1" applyAlignment="1">
      <alignment horizontal="center"/>
    </xf>
    <xf numFmtId="1" fontId="7" fillId="2" borderId="0" xfId="0" applyNumberFormat="1" applyFont="1" applyFill="1" applyAlignment="1">
      <alignment horizontal="center"/>
    </xf>
    <xf numFmtId="2" fontId="6" fillId="2" borderId="1" xfId="0" applyNumberFormat="1" applyFont="1" applyFill="1" applyBorder="1" applyAlignment="1">
      <alignment horizontal="center"/>
    </xf>
    <xf numFmtId="2" fontId="6" fillId="2" borderId="0" xfId="0" applyNumberFormat="1" applyFont="1" applyFill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1" fontId="6" fillId="2" borderId="1" xfId="0" applyNumberFormat="1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center" vertical="center" wrapText="1"/>
    </xf>
    <xf numFmtId="0" fontId="9" fillId="2" borderId="6" xfId="1" applyFont="1" applyFill="1" applyBorder="1" applyAlignment="1">
      <alignment horizontal="center"/>
    </xf>
    <xf numFmtId="0" fontId="0" fillId="2" borderId="3" xfId="0" applyFill="1" applyBorder="1" applyAlignment="1">
      <alignment horizontal="centerContinuous"/>
    </xf>
    <xf numFmtId="0" fontId="10" fillId="2" borderId="7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3" borderId="12" xfId="0" applyFill="1" applyBorder="1" applyAlignment="1">
      <alignment horizontal="centerContinuous"/>
    </xf>
    <xf numFmtId="0" fontId="0" fillId="3" borderId="13" xfId="0" applyFill="1" applyBorder="1" applyAlignment="1">
      <alignment horizontal="centerContinuous"/>
    </xf>
    <xf numFmtId="164" fontId="0" fillId="2" borderId="10" xfId="0" applyNumberFormat="1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164" fontId="0" fillId="2" borderId="1" xfId="0" applyNumberForma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0" fillId="2" borderId="4" xfId="0" applyFill="1" applyBorder="1" applyAlignment="1">
      <alignment horizontal="centerContinuous"/>
    </xf>
    <xf numFmtId="0" fontId="0" fillId="2" borderId="14" xfId="0" applyFill="1" applyBorder="1" applyAlignment="1">
      <alignment horizontal="centerContinuous"/>
    </xf>
    <xf numFmtId="0" fontId="0" fillId="2" borderId="3" xfId="0" applyFill="1" applyBorder="1"/>
    <xf numFmtId="164" fontId="0" fillId="2" borderId="11" xfId="0" applyNumberFormat="1" applyFill="1" applyBorder="1" applyAlignment="1">
      <alignment horizontal="center"/>
    </xf>
    <xf numFmtId="165" fontId="0" fillId="2" borderId="12" xfId="0" applyNumberFormat="1" applyFill="1" applyBorder="1" applyAlignment="1">
      <alignment horizontal="center"/>
    </xf>
    <xf numFmtId="164" fontId="0" fillId="2" borderId="13" xfId="0" applyNumberForma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2" fontId="14" fillId="2" borderId="8" xfId="0" applyNumberFormat="1" applyFont="1" applyFill="1" applyBorder="1" applyAlignment="1">
      <alignment horizontal="centerContinuous"/>
    </xf>
    <xf numFmtId="0" fontId="0" fillId="2" borderId="8" xfId="0" applyFont="1" applyFill="1" applyBorder="1" applyAlignment="1">
      <alignment horizontal="centerContinuous"/>
    </xf>
    <xf numFmtId="0" fontId="0" fillId="2" borderId="9" xfId="0" applyFont="1" applyFill="1" applyBorder="1" applyAlignment="1">
      <alignment horizontal="centerContinuous"/>
    </xf>
    <xf numFmtId="0" fontId="0" fillId="2" borderId="11" xfId="0" applyFill="1" applyBorder="1" applyAlignment="1">
      <alignment horizontal="center" vertical="top"/>
    </xf>
    <xf numFmtId="0" fontId="0" fillId="2" borderId="12" xfId="0" applyFill="1" applyBorder="1" applyAlignment="1">
      <alignment horizontal="center" vertical="top"/>
    </xf>
    <xf numFmtId="0" fontId="0" fillId="2" borderId="13" xfId="0" applyFill="1" applyBorder="1" applyAlignment="1">
      <alignment horizontal="center" vertical="top"/>
    </xf>
    <xf numFmtId="0" fontId="2" fillId="2" borderId="15" xfId="0" applyFont="1" applyFill="1" applyBorder="1" applyAlignment="1">
      <alignment horizontal="centerContinuous"/>
    </xf>
    <xf numFmtId="164" fontId="0" fillId="2" borderId="7" xfId="0" applyNumberFormat="1" applyFill="1" applyBorder="1" applyAlignment="1">
      <alignment horizontal="center"/>
    </xf>
    <xf numFmtId="165" fontId="0" fillId="2" borderId="8" xfId="0" applyNumberFormat="1" applyFill="1" applyBorder="1" applyAlignment="1">
      <alignment horizontal="center"/>
    </xf>
    <xf numFmtId="164" fontId="0" fillId="2" borderId="9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64" fontId="0" fillId="2" borderId="0" xfId="0" applyNumberFormat="1" applyFill="1" applyBorder="1" applyAlignment="1">
      <alignment horizontal="center"/>
    </xf>
    <xf numFmtId="1" fontId="0" fillId="2" borderId="0" xfId="0" applyNumberFormat="1" applyFill="1" applyBorder="1" applyAlignment="1">
      <alignment horizontal="center"/>
    </xf>
    <xf numFmtId="166" fontId="0" fillId="2" borderId="1" xfId="0" applyNumberFormat="1" applyFill="1" applyBorder="1" applyAlignment="1">
      <alignment horizontal="center"/>
    </xf>
    <xf numFmtId="1" fontId="0" fillId="2" borderId="6" xfId="0" applyNumberFormat="1" applyFill="1" applyBorder="1" applyAlignment="1">
      <alignment horizontal="center"/>
    </xf>
    <xf numFmtId="164" fontId="0" fillId="0" borderId="7" xfId="0" applyNumberFormat="1" applyFill="1" applyBorder="1" applyAlignment="1">
      <alignment horizontal="center"/>
    </xf>
    <xf numFmtId="1" fontId="0" fillId="0" borderId="8" xfId="0" applyNumberFormat="1" applyFill="1" applyBorder="1" applyAlignment="1">
      <alignment horizontal="center"/>
    </xf>
    <xf numFmtId="166" fontId="0" fillId="0" borderId="8" xfId="0" applyNumberFormat="1" applyFill="1" applyBorder="1" applyAlignment="1">
      <alignment horizontal="center"/>
    </xf>
    <xf numFmtId="164" fontId="0" fillId="0" borderId="10" xfId="0" applyNumberFormat="1" applyFill="1" applyBorder="1" applyAlignment="1">
      <alignment horizontal="center"/>
    </xf>
    <xf numFmtId="1" fontId="0" fillId="0" borderId="0" xfId="0" applyNumberForma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1" fontId="0" fillId="2" borderId="15" xfId="0" applyNumberFormat="1" applyFill="1" applyBorder="1" applyAlignment="1">
      <alignment horizontal="center"/>
    </xf>
    <xf numFmtId="0" fontId="2" fillId="3" borderId="2" xfId="0" applyFont="1" applyFill="1" applyBorder="1" applyAlignment="1">
      <alignment horizontal="centerContinuous"/>
    </xf>
    <xf numFmtId="0" fontId="2" fillId="3" borderId="15" xfId="0" applyFont="1" applyFill="1" applyBorder="1" applyAlignment="1">
      <alignment horizontal="centerContinuous"/>
    </xf>
    <xf numFmtId="0" fontId="2" fillId="2" borderId="2" xfId="0" applyFont="1" applyFill="1" applyBorder="1" applyAlignment="1">
      <alignment horizontal="centerContinuous"/>
    </xf>
    <xf numFmtId="0" fontId="0" fillId="3" borderId="4" xfId="0" applyNumberFormat="1" applyFill="1" applyBorder="1" applyAlignment="1">
      <alignment horizontal="center"/>
    </xf>
    <xf numFmtId="0" fontId="0" fillId="3" borderId="5" xfId="0" applyNumberFormat="1" applyFill="1" applyBorder="1" applyAlignment="1">
      <alignment horizontal="center"/>
    </xf>
    <xf numFmtId="0" fontId="3" fillId="3" borderId="4" xfId="0" applyNumberFormat="1" applyFont="1" applyFill="1" applyBorder="1" applyAlignment="1">
      <alignment horizontal="center"/>
    </xf>
    <xf numFmtId="0" fontId="3" fillId="3" borderId="5" xfId="0" applyNumberFormat="1" applyFont="1" applyFill="1" applyBorder="1" applyAlignment="1">
      <alignment horizontal="center"/>
    </xf>
    <xf numFmtId="2" fontId="17" fillId="4" borderId="5" xfId="0" applyNumberFormat="1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3">
    <dxf>
      <font>
        <strike val="0"/>
        <color rgb="FFCCFFCC"/>
      </font>
    </dxf>
    <dxf>
      <font>
        <strike val="0"/>
        <color rgb="FFCCFFCC"/>
      </font>
    </dxf>
    <dxf>
      <font>
        <strike val="0"/>
        <color rgb="FFCCFFCC"/>
      </font>
    </dxf>
    <dxf>
      <font>
        <strike/>
        <color rgb="FFCCFFCC"/>
      </font>
      <fill>
        <patternFill>
          <bgColor rgb="FFCCFFCC"/>
        </patternFill>
      </fill>
    </dxf>
    <dxf>
      <font>
        <color rgb="FFCCFFCC"/>
      </font>
      <fill>
        <patternFill>
          <bgColor rgb="FFCCFFCC"/>
        </patternFill>
      </fill>
    </dxf>
    <dxf>
      <font>
        <strike val="0"/>
        <color rgb="FFFF0000"/>
      </font>
      <fill>
        <patternFill>
          <bgColor rgb="FFFFFF00"/>
        </patternFill>
      </fill>
    </dxf>
    <dxf>
      <font>
        <color rgb="FFCCFFCC"/>
      </font>
      <fill>
        <patternFill>
          <bgColor rgb="FFCCFFCC"/>
        </patternFill>
      </fill>
    </dxf>
    <dxf>
      <font>
        <strike/>
        <color rgb="FFCCFFCC"/>
      </font>
      <fill>
        <patternFill>
          <bgColor rgb="FFCCFFCC"/>
        </patternFill>
      </fill>
    </dxf>
    <dxf>
      <font>
        <strike/>
        <color rgb="FFCCFFCC"/>
      </font>
      <fill>
        <patternFill>
          <bgColor rgb="FFCCFFCC"/>
        </patternFill>
      </fill>
    </dxf>
    <dxf>
      <font>
        <color rgb="FFCCFFCC"/>
      </font>
      <fill>
        <patternFill>
          <bgColor rgb="FFCCFFCC"/>
        </patternFill>
      </fill>
    </dxf>
    <dxf>
      <font>
        <strike/>
        <color rgb="FFCCFFCC"/>
      </font>
    </dxf>
    <dxf>
      <font>
        <strike val="0"/>
        <color rgb="FFFF0000"/>
      </font>
      <fill>
        <patternFill>
          <bgColor rgb="FFFFFF00"/>
        </patternFill>
      </fill>
    </dxf>
    <dxf>
      <font>
        <strike/>
        <color rgb="FFCCFFCC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'vertical 1-col layout'!$E$23</c:f>
          <c:strCache>
            <c:ptCount val="1"/>
            <c:pt idx="0">
              <c:v>metalog_1 CDF</c:v>
            </c:pt>
          </c:strCache>
        </c:strRef>
      </c:tx>
      <c:layout>
        <c:manualLayout>
          <c:xMode val="edge"/>
          <c:yMode val="edge"/>
          <c:x val="0.29668900123321329"/>
          <c:y val="3.89303012858824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037890609646246"/>
          <c:y val="0.14278921275191481"/>
          <c:w val="0.81867713519631113"/>
          <c:h val="0.62994047825159871"/>
        </c:manualLayout>
      </c:layout>
      <c:scatterChart>
        <c:scatterStyle val="smoothMarker"/>
        <c:varyColors val="0"/>
        <c:ser>
          <c:idx val="0"/>
          <c:order val="0"/>
          <c:tx>
            <c:v>metalog</c:v>
          </c:tx>
          <c:spPr>
            <a:ln w="53975"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'vertical 1-col layout'!$E$37:$E$143</c:f>
              <c:numCache>
                <c:formatCode>0.0</c:formatCode>
                <c:ptCount val="107"/>
                <c:pt idx="0">
                  <c:v>#N/A</c:v>
                </c:pt>
                <c:pt idx="1">
                  <c:v>-8.2610365010519864</c:v>
                </c:pt>
                <c:pt idx="2">
                  <c:v>-1.4332964124621093</c:v>
                </c:pt>
                <c:pt idx="3">
                  <c:v>2.84787365450123</c:v>
                </c:pt>
                <c:pt idx="4">
                  <c:v>5.9828077756563012</c:v>
                </c:pt>
                <c:pt idx="5">
                  <c:v>10.20258751174009</c:v>
                </c:pt>
                <c:pt idx="6">
                  <c:v>12.653675231755811</c:v>
                </c:pt>
                <c:pt idx="7">
                  <c:v>14.388876517410104</c:v>
                </c:pt>
                <c:pt idx="8">
                  <c:v>15.736466011666684</c:v>
                </c:pt>
                <c:pt idx="9">
                  <c:v>16.841973528496915</c:v>
                </c:pt>
                <c:pt idx="10">
                  <c:v>17.782674084550983</c:v>
                </c:pt>
                <c:pt idx="11">
                  <c:v>18.604489434862501</c:v>
                </c:pt>
                <c:pt idx="12">
                  <c:v>19.336913064533029</c:v>
                </c:pt>
                <c:pt idx="13">
                  <c:v>20.000000000000004</c:v>
                </c:pt>
                <c:pt idx="14">
                  <c:v>20.607998646428584</c:v>
                </c:pt>
                <c:pt idx="15">
                  <c:v>21.171390796856084</c:v>
                </c:pt>
                <c:pt idx="16">
                  <c:v>21.698109399096378</c:v>
                </c:pt>
                <c:pt idx="17">
                  <c:v>22.194301951144009</c:v>
                </c:pt>
                <c:pt idx="18">
                  <c:v>22.664828725292452</c:v>
                </c:pt>
                <c:pt idx="19">
                  <c:v>23.113599094104259</c:v>
                </c:pt>
                <c:pt idx="20">
                  <c:v>23.543805184267804</c:v>
                </c:pt>
                <c:pt idx="21">
                  <c:v>23.95808827184036</c:v>
                </c:pt>
                <c:pt idx="22">
                  <c:v>24.358659865173902</c:v>
                </c:pt>
                <c:pt idx="23">
                  <c:v>24.747391504463817</c:v>
                </c:pt>
                <c:pt idx="24">
                  <c:v>25.125882492754148</c:v>
                </c:pt>
                <c:pt idx="25">
                  <c:v>25.495511758163598</c:v>
                </c:pt>
                <c:pt idx="26">
                  <c:v>25.857478108656032</c:v>
                </c:pt>
                <c:pt idx="27">
                  <c:v>26.212831864972564</c:v>
                </c:pt>
                <c:pt idx="28">
                  <c:v>26.5625</c:v>
                </c:pt>
                <c:pt idx="29">
                  <c:v>26.907306325663424</c:v>
                </c:pt>
                <c:pt idx="30">
                  <c:v>27.247987859305795</c:v>
                </c:pt>
                <c:pt idx="31">
                  <c:v>27.585208211963447</c:v>
                </c:pt>
                <c:pt idx="32">
                  <c:v>27.919568633062273</c:v>
                </c:pt>
                <c:pt idx="33">
                  <c:v>28.251617194837557</c:v>
                </c:pt>
                <c:pt idx="34">
                  <c:v>28.581856488437555</c:v>
                </c:pt>
                <c:pt idx="35">
                  <c:v>28.910750120772285</c:v>
                </c:pt>
                <c:pt idx="36">
                  <c:v>29.238728238809827</c:v>
                </c:pt>
                <c:pt idx="37">
                  <c:v>29.566192260665854</c:v>
                </c:pt>
                <c:pt idx="38">
                  <c:v>29.893518956553205</c:v>
                </c:pt>
                <c:pt idx="39">
                  <c:v>30.221063994641806</c:v>
                </c:pt>
                <c:pt idx="40">
                  <c:v>30.549165045084816</c:v>
                </c:pt>
                <c:pt idx="41">
                  <c:v>30.878144518401584</c:v>
                </c:pt>
                <c:pt idx="42">
                  <c:v>31.208312000968295</c:v>
                </c:pt>
                <c:pt idx="43">
                  <c:v>31.539966439732417</c:v>
                </c:pt>
                <c:pt idx="44">
                  <c:v>31.873398119820216</c:v>
                </c:pt>
                <c:pt idx="45">
                  <c:v>32.208890471982215</c:v>
                </c:pt>
                <c:pt idx="46">
                  <c:v>32.546721741465596</c:v>
                </c:pt>
                <c:pt idx="47">
                  <c:v>32.887166545645862</c:v>
                </c:pt>
                <c:pt idx="48">
                  <c:v>33.230497344384908</c:v>
                </c:pt>
                <c:pt idx="49">
                  <c:v>33.576985844452643</c:v>
                </c:pt>
                <c:pt idx="50">
                  <c:v>33.92690435733293</c:v>
                </c:pt>
                <c:pt idx="51">
                  <c:v>34.280527128242461</c:v>
                </c:pt>
                <c:pt idx="52">
                  <c:v>34.638131653155263</c:v>
                </c:pt>
                <c:pt idx="53">
                  <c:v>35</c:v>
                </c:pt>
                <c:pt idx="54">
                  <c:v>35.366420149949697</c:v>
                </c:pt>
                <c:pt idx="55">
                  <c:v>35.737687374840014</c:v>
                </c:pt>
                <c:pt idx="56">
                  <c:v>36.114105667227591</c:v>
                </c:pt>
                <c:pt idx="57">
                  <c:v>36.495989240447223</c:v>
                </c:pt>
                <c:pt idx="58">
                  <c:v>36.883664117267678</c:v>
                </c:pt>
                <c:pt idx="59">
                  <c:v>37.277469827420695</c:v>
                </c:pt>
                <c:pt idx="60">
                  <c:v>37.677761236439508</c:v>
                </c:pt>
                <c:pt idx="61">
                  <c:v>38.084910530967022</c:v>
                </c:pt>
                <c:pt idx="62">
                  <c:v>38.499309389075378</c:v>
                </c:pt>
                <c:pt idx="63">
                  <c:v>38.921371368303262</c:v>
                </c:pt>
                <c:pt idx="64">
                  <c:v>39.351534549224304</c:v>
                </c:pt>
                <c:pt idx="65">
                  <c:v>39.790264478614375</c:v>
                </c:pt>
                <c:pt idx="66">
                  <c:v>40.238057463947804</c:v>
                </c:pt>
                <c:pt idx="67">
                  <c:v>40.695444280358394</c:v>
                </c:pt>
                <c:pt idx="68">
                  <c:v>41.162994362780616</c:v>
                </c:pt>
                <c:pt idx="69">
                  <c:v>41.641320570297296</c:v>
                </c:pt>
                <c:pt idx="70">
                  <c:v>42.131084627487148</c:v>
                </c:pt>
                <c:pt idx="71">
                  <c:v>42.633003369736151</c:v>
                </c:pt>
                <c:pt idx="72">
                  <c:v>43.147855947302673</c:v>
                </c:pt>
                <c:pt idx="73">
                  <c:v>43.676492178065992</c:v>
                </c:pt>
                <c:pt idx="74">
                  <c:v>44.219842283566393</c:v>
                </c:pt>
                <c:pt idx="75">
                  <c:v>44.778928300164154</c:v>
                </c:pt>
                <c:pt idx="76">
                  <c:v>45.354877531000284</c:v>
                </c:pt>
                <c:pt idx="77">
                  <c:v>45.948938500573014</c:v>
                </c:pt>
                <c:pt idx="78">
                  <c:v>46.5625</c:v>
                </c:pt>
                <c:pt idx="79">
                  <c:v>47.197113978470917</c:v>
                </c:pt>
                <c:pt idx="80">
                  <c:v>47.854523260761816</c:v>
                </c:pt>
                <c:pt idx="81">
                  <c:v>48.536695374736695</c:v>
                </c:pt>
                <c:pt idx="82">
                  <c:v>49.245864189843253</c:v>
                </c:pt>
                <c:pt idx="83">
                  <c:v>49.984581647322116</c:v>
                </c:pt>
                <c:pt idx="84">
                  <c:v>50.755782680246398</c:v>
                </c:pt>
                <c:pt idx="85">
                  <c:v>51.562867592239463</c:v>
                </c:pt>
                <c:pt idx="86">
                  <c:v>52.409807869577271</c:v>
                </c:pt>
                <c:pt idx="87">
                  <c:v>53.301283934474398</c:v>
                </c:pt>
                <c:pt idx="88">
                  <c:v>54.242867188543769</c:v>
                </c:pt>
                <c:pt idx="89">
                  <c:v>55.241264657869145</c:v>
                </c:pt>
                <c:pt idx="90">
                  <c:v>56.304654051853767</c:v>
                </c:pt>
                <c:pt idx="91">
                  <c:v>57.443152641167998</c:v>
                </c:pt>
                <c:pt idx="92">
                  <c:v>58.669489829427377</c:v>
                </c:pt>
                <c:pt idx="93">
                  <c:v>60</c:v>
                </c:pt>
                <c:pt idx="94">
                  <c:v>61.456138437217326</c:v>
                </c:pt>
                <c:pt idx="95">
                  <c:v>63.066890967438781</c:v>
                </c:pt>
                <c:pt idx="96">
                  <c:v>64.87279624646284</c:v>
                </c:pt>
                <c:pt idx="97">
                  <c:v>66.933081036091622</c:v>
                </c:pt>
                <c:pt idx="98">
                  <c:v>69.339343196594172</c:v>
                </c:pt>
                <c:pt idx="99">
                  <c:v>72.244661731697533</c:v>
                </c:pt>
                <c:pt idx="100">
                  <c:v>75.93530289404022</c:v>
                </c:pt>
                <c:pt idx="101">
                  <c:v>81.052337478196947</c:v>
                </c:pt>
                <c:pt idx="102">
                  <c:v>89.635974548539039</c:v>
                </c:pt>
                <c:pt idx="103">
                  <c:v>95.873917330447028</c:v>
                </c:pt>
                <c:pt idx="104">
                  <c:v>104.26620360556032</c:v>
                </c:pt>
                <c:pt idx="105">
                  <c:v>117.47494606331345</c:v>
                </c:pt>
                <c:pt idx="106">
                  <c:v>#N/A</c:v>
                </c:pt>
              </c:numCache>
            </c:numRef>
          </c:xVal>
          <c:yVal>
            <c:numRef>
              <c:f>'vertical 1-col layout'!$D$37:$D$143</c:f>
              <c:numCache>
                <c:formatCode>0.000</c:formatCode>
                <c:ptCount val="107"/>
                <c:pt idx="0">
                  <c:v>#N/A</c:v>
                </c:pt>
                <c:pt idx="1">
                  <c:v>1E-3</c:v>
                </c:pt>
                <c:pt idx="2">
                  <c:v>3.0000000000000001E-3</c:v>
                </c:pt>
                <c:pt idx="3">
                  <c:v>6.0000000000000001E-3</c:v>
                </c:pt>
                <c:pt idx="4">
                  <c:v>0.01</c:v>
                </c:pt>
                <c:pt idx="5">
                  <c:v>0.02</c:v>
                </c:pt>
                <c:pt idx="6">
                  <c:v>0.03</c:v>
                </c:pt>
                <c:pt idx="7">
                  <c:v>0.04</c:v>
                </c:pt>
                <c:pt idx="8">
                  <c:v>0.05</c:v>
                </c:pt>
                <c:pt idx="9">
                  <c:v>0.06</c:v>
                </c:pt>
                <c:pt idx="10">
                  <c:v>7.0000000000000007E-2</c:v>
                </c:pt>
                <c:pt idx="11">
                  <c:v>0.08</c:v>
                </c:pt>
                <c:pt idx="12">
                  <c:v>0.09</c:v>
                </c:pt>
                <c:pt idx="13">
                  <c:v>0.1</c:v>
                </c:pt>
                <c:pt idx="14">
                  <c:v>0.11</c:v>
                </c:pt>
                <c:pt idx="15">
                  <c:v>0.12</c:v>
                </c:pt>
                <c:pt idx="16">
                  <c:v>0.13</c:v>
                </c:pt>
                <c:pt idx="17">
                  <c:v>0.14000000000000001</c:v>
                </c:pt>
                <c:pt idx="18">
                  <c:v>0.15</c:v>
                </c:pt>
                <c:pt idx="19">
                  <c:v>0.16</c:v>
                </c:pt>
                <c:pt idx="20">
                  <c:v>0.17</c:v>
                </c:pt>
                <c:pt idx="21">
                  <c:v>0.18</c:v>
                </c:pt>
                <c:pt idx="22">
                  <c:v>0.19</c:v>
                </c:pt>
                <c:pt idx="23">
                  <c:v>0.2</c:v>
                </c:pt>
                <c:pt idx="24">
                  <c:v>0.21</c:v>
                </c:pt>
                <c:pt idx="25">
                  <c:v>0.22</c:v>
                </c:pt>
                <c:pt idx="26">
                  <c:v>0.23</c:v>
                </c:pt>
                <c:pt idx="27">
                  <c:v>0.24</c:v>
                </c:pt>
                <c:pt idx="28">
                  <c:v>0.25</c:v>
                </c:pt>
                <c:pt idx="29">
                  <c:v>0.26</c:v>
                </c:pt>
                <c:pt idx="30">
                  <c:v>0.27</c:v>
                </c:pt>
                <c:pt idx="31">
                  <c:v>0.28000000000000003</c:v>
                </c:pt>
                <c:pt idx="32">
                  <c:v>0.28999999999999998</c:v>
                </c:pt>
                <c:pt idx="33">
                  <c:v>0.3</c:v>
                </c:pt>
                <c:pt idx="34">
                  <c:v>0.31</c:v>
                </c:pt>
                <c:pt idx="35">
                  <c:v>0.32</c:v>
                </c:pt>
                <c:pt idx="36">
                  <c:v>0.33</c:v>
                </c:pt>
                <c:pt idx="37">
                  <c:v>0.34</c:v>
                </c:pt>
                <c:pt idx="38">
                  <c:v>0.35</c:v>
                </c:pt>
                <c:pt idx="39">
                  <c:v>0.36</c:v>
                </c:pt>
                <c:pt idx="40">
                  <c:v>0.37</c:v>
                </c:pt>
                <c:pt idx="41">
                  <c:v>0.38</c:v>
                </c:pt>
                <c:pt idx="42">
                  <c:v>0.39</c:v>
                </c:pt>
                <c:pt idx="43">
                  <c:v>0.4</c:v>
                </c:pt>
                <c:pt idx="44">
                  <c:v>0.41</c:v>
                </c:pt>
                <c:pt idx="45">
                  <c:v>0.42</c:v>
                </c:pt>
                <c:pt idx="46">
                  <c:v>0.43</c:v>
                </c:pt>
                <c:pt idx="47">
                  <c:v>0.44</c:v>
                </c:pt>
                <c:pt idx="48">
                  <c:v>0.45</c:v>
                </c:pt>
                <c:pt idx="49">
                  <c:v>0.46</c:v>
                </c:pt>
                <c:pt idx="50">
                  <c:v>0.47</c:v>
                </c:pt>
                <c:pt idx="51">
                  <c:v>0.48</c:v>
                </c:pt>
                <c:pt idx="52">
                  <c:v>0.49</c:v>
                </c:pt>
                <c:pt idx="53">
                  <c:v>0.5</c:v>
                </c:pt>
                <c:pt idx="54">
                  <c:v>0.51</c:v>
                </c:pt>
                <c:pt idx="55">
                  <c:v>0.52</c:v>
                </c:pt>
                <c:pt idx="56">
                  <c:v>0.53</c:v>
                </c:pt>
                <c:pt idx="57">
                  <c:v>0.54</c:v>
                </c:pt>
                <c:pt idx="58">
                  <c:v>0.55000000000000004</c:v>
                </c:pt>
                <c:pt idx="59">
                  <c:v>0.56000000000000005</c:v>
                </c:pt>
                <c:pt idx="60">
                  <c:v>0.56999999999999995</c:v>
                </c:pt>
                <c:pt idx="61">
                  <c:v>0.57999999999999996</c:v>
                </c:pt>
                <c:pt idx="62">
                  <c:v>0.59</c:v>
                </c:pt>
                <c:pt idx="63">
                  <c:v>0.6</c:v>
                </c:pt>
                <c:pt idx="64">
                  <c:v>0.61</c:v>
                </c:pt>
                <c:pt idx="65">
                  <c:v>0.62</c:v>
                </c:pt>
                <c:pt idx="66">
                  <c:v>0.63</c:v>
                </c:pt>
                <c:pt idx="67">
                  <c:v>0.64</c:v>
                </c:pt>
                <c:pt idx="68">
                  <c:v>0.65</c:v>
                </c:pt>
                <c:pt idx="69">
                  <c:v>0.66</c:v>
                </c:pt>
                <c:pt idx="70">
                  <c:v>0.67</c:v>
                </c:pt>
                <c:pt idx="71">
                  <c:v>0.68</c:v>
                </c:pt>
                <c:pt idx="72">
                  <c:v>0.69</c:v>
                </c:pt>
                <c:pt idx="73">
                  <c:v>0.7</c:v>
                </c:pt>
                <c:pt idx="74">
                  <c:v>0.71</c:v>
                </c:pt>
                <c:pt idx="75">
                  <c:v>0.72</c:v>
                </c:pt>
                <c:pt idx="76">
                  <c:v>0.73</c:v>
                </c:pt>
                <c:pt idx="77">
                  <c:v>0.74</c:v>
                </c:pt>
                <c:pt idx="78">
                  <c:v>0.75</c:v>
                </c:pt>
                <c:pt idx="79">
                  <c:v>0.76</c:v>
                </c:pt>
                <c:pt idx="80">
                  <c:v>0.77</c:v>
                </c:pt>
                <c:pt idx="81">
                  <c:v>0.78</c:v>
                </c:pt>
                <c:pt idx="82">
                  <c:v>0.79</c:v>
                </c:pt>
                <c:pt idx="83">
                  <c:v>0.8</c:v>
                </c:pt>
                <c:pt idx="84">
                  <c:v>0.81</c:v>
                </c:pt>
                <c:pt idx="85">
                  <c:v>0.82</c:v>
                </c:pt>
                <c:pt idx="86">
                  <c:v>0.83</c:v>
                </c:pt>
                <c:pt idx="87">
                  <c:v>0.84</c:v>
                </c:pt>
                <c:pt idx="88">
                  <c:v>0.85</c:v>
                </c:pt>
                <c:pt idx="89">
                  <c:v>0.86</c:v>
                </c:pt>
                <c:pt idx="90">
                  <c:v>0.87</c:v>
                </c:pt>
                <c:pt idx="91">
                  <c:v>0.88</c:v>
                </c:pt>
                <c:pt idx="92">
                  <c:v>0.89</c:v>
                </c:pt>
                <c:pt idx="93">
                  <c:v>0.9</c:v>
                </c:pt>
                <c:pt idx="94">
                  <c:v>0.91</c:v>
                </c:pt>
                <c:pt idx="95">
                  <c:v>0.92</c:v>
                </c:pt>
                <c:pt idx="96">
                  <c:v>0.93</c:v>
                </c:pt>
                <c:pt idx="97">
                  <c:v>0.94</c:v>
                </c:pt>
                <c:pt idx="98">
                  <c:v>0.95</c:v>
                </c:pt>
                <c:pt idx="99">
                  <c:v>0.96</c:v>
                </c:pt>
                <c:pt idx="100">
                  <c:v>0.97</c:v>
                </c:pt>
                <c:pt idx="101">
                  <c:v>0.98</c:v>
                </c:pt>
                <c:pt idx="102">
                  <c:v>0.99</c:v>
                </c:pt>
                <c:pt idx="103">
                  <c:v>0.99399999999999999</c:v>
                </c:pt>
                <c:pt idx="104">
                  <c:v>0.997</c:v>
                </c:pt>
                <c:pt idx="105">
                  <c:v>0.999</c:v>
                </c:pt>
                <c:pt idx="106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D3-4BBD-A0A4-89150909CC0F}"/>
            </c:ext>
          </c:extLst>
        </c:ser>
        <c:ser>
          <c:idx val="1"/>
          <c:order val="1"/>
          <c:tx>
            <c:v>input data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rgbClr val="0070C0"/>
                </a:solidFill>
              </a:ln>
            </c:spPr>
          </c:marker>
          <c:xVal>
            <c:numRef>
              <c:f>'vertical 1-col layout'!$E$31:$E$35</c:f>
              <c:numCache>
                <c:formatCode>0.0</c:formatCode>
                <c:ptCount val="5"/>
                <c:pt idx="0">
                  <c:v>#N/A</c:v>
                </c:pt>
                <c:pt idx="1">
                  <c:v>20</c:v>
                </c:pt>
                <c:pt idx="2">
                  <c:v>35</c:v>
                </c:pt>
                <c:pt idx="3">
                  <c:v>60</c:v>
                </c:pt>
                <c:pt idx="4">
                  <c:v>#N/A</c:v>
                </c:pt>
              </c:numCache>
            </c:numRef>
          </c:xVal>
          <c:yVal>
            <c:numRef>
              <c:f>'vertical 1-col layout'!$D$31:$D$35</c:f>
              <c:numCache>
                <c:formatCode>0.000</c:formatCode>
                <c:ptCount val="5"/>
                <c:pt idx="0">
                  <c:v>#N/A</c:v>
                </c:pt>
                <c:pt idx="1">
                  <c:v>0.1</c:v>
                </c:pt>
                <c:pt idx="2">
                  <c:v>0.5</c:v>
                </c:pt>
                <c:pt idx="3">
                  <c:v>0.9</c:v>
                </c:pt>
                <c:pt idx="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5D3-4BBD-A0A4-89150909C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125872"/>
        <c:axId val="700124696"/>
      </c:scatterChart>
      <c:valAx>
        <c:axId val="700125872"/>
        <c:scaling>
          <c:orientation val="minMax"/>
        </c:scaling>
        <c:delete val="0"/>
        <c:axPos val="b"/>
        <c:title>
          <c:tx>
            <c:strRef>
              <c:f>'vertical 1-col layout'!$D$23</c:f>
              <c:strCache>
                <c:ptCount val="1"/>
                <c:pt idx="0">
                  <c:v>1</c:v>
                </c:pt>
              </c:strCache>
            </c:strRef>
          </c:tx>
          <c:layout>
            <c:manualLayout>
              <c:xMode val="edge"/>
              <c:yMode val="edge"/>
              <c:x val="0.48396513389638951"/>
              <c:y val="0.82814050712095544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00124696"/>
        <c:crosses val="autoZero"/>
        <c:crossBetween val="midCat"/>
      </c:valAx>
      <c:valAx>
        <c:axId val="700124696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0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00125872"/>
        <c:crosses val="autoZero"/>
        <c:crossBetween val="midCat"/>
        <c:majorUnit val="0.2"/>
        <c:minorUnit val="0.1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19718456388603597"/>
          <c:y val="0.9212840938742306"/>
          <c:w val="0.62847891001576617"/>
          <c:h val="6.9970945088922834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legend>
    <c:plotVisOnly val="1"/>
    <c:dispBlanksAs val="gap"/>
    <c:showDLblsOverMax val="0"/>
  </c:chart>
  <c:spPr>
    <a:solidFill>
      <a:schemeClr val="bg1"/>
    </a:solidFill>
    <a:ln w="3175">
      <a:solidFill>
        <a:srgbClr val="000000"/>
      </a:solidFill>
      <a:prstDash val="solid"/>
    </a:ln>
  </c:spPr>
  <c:txPr>
    <a:bodyPr/>
    <a:lstStyle/>
    <a:p>
      <a:pPr>
        <a:defRPr sz="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'vertical 1-col layout'!$F$23</c:f>
          <c:strCache>
            <c:ptCount val="1"/>
            <c:pt idx="0">
              <c:v>metalog_1 PDF</c:v>
            </c:pt>
          </c:strCache>
        </c:strRef>
      </c:tx>
      <c:overlay val="0"/>
    </c:title>
    <c:autoTitleDeleted val="0"/>
    <c:plotArea>
      <c:layout>
        <c:manualLayout>
          <c:layoutTarget val="inner"/>
          <c:xMode val="edge"/>
          <c:yMode val="edge"/>
          <c:x val="0.12499984717749051"/>
          <c:y val="0.14424190126919068"/>
          <c:w val="0.81370813834879163"/>
          <c:h val="0.66145212753693094"/>
        </c:manualLayout>
      </c:layout>
      <c:scatterChart>
        <c:scatterStyle val="smoothMarker"/>
        <c:varyColors val="0"/>
        <c:ser>
          <c:idx val="0"/>
          <c:order val="0"/>
          <c:tx>
            <c:v>metalog</c:v>
          </c:tx>
          <c:spPr>
            <a:ln w="53975">
              <a:solidFill>
                <a:schemeClr val="accent5">
                  <a:lumMod val="75000"/>
                </a:schemeClr>
              </a:solidFill>
            </a:ln>
          </c:spPr>
          <c:marker>
            <c:symbol val="none"/>
          </c:marker>
          <c:xVal>
            <c:numRef>
              <c:f>'vertical 1-col layout'!$E$37:$E$143</c:f>
              <c:numCache>
                <c:formatCode>0.0</c:formatCode>
                <c:ptCount val="107"/>
                <c:pt idx="0">
                  <c:v>#N/A</c:v>
                </c:pt>
                <c:pt idx="1">
                  <c:v>-8.2610365010519864</c:v>
                </c:pt>
                <c:pt idx="2">
                  <c:v>-1.4332964124621093</c:v>
                </c:pt>
                <c:pt idx="3">
                  <c:v>2.84787365450123</c:v>
                </c:pt>
                <c:pt idx="4">
                  <c:v>5.9828077756563012</c:v>
                </c:pt>
                <c:pt idx="5">
                  <c:v>10.20258751174009</c:v>
                </c:pt>
                <c:pt idx="6">
                  <c:v>12.653675231755811</c:v>
                </c:pt>
                <c:pt idx="7">
                  <c:v>14.388876517410104</c:v>
                </c:pt>
                <c:pt idx="8">
                  <c:v>15.736466011666684</c:v>
                </c:pt>
                <c:pt idx="9">
                  <c:v>16.841973528496915</c:v>
                </c:pt>
                <c:pt idx="10">
                  <c:v>17.782674084550983</c:v>
                </c:pt>
                <c:pt idx="11">
                  <c:v>18.604489434862501</c:v>
                </c:pt>
                <c:pt idx="12">
                  <c:v>19.336913064533029</c:v>
                </c:pt>
                <c:pt idx="13">
                  <c:v>20.000000000000004</c:v>
                </c:pt>
                <c:pt idx="14">
                  <c:v>20.607998646428584</c:v>
                </c:pt>
                <c:pt idx="15">
                  <c:v>21.171390796856084</c:v>
                </c:pt>
                <c:pt idx="16">
                  <c:v>21.698109399096378</c:v>
                </c:pt>
                <c:pt idx="17">
                  <c:v>22.194301951144009</c:v>
                </c:pt>
                <c:pt idx="18">
                  <c:v>22.664828725292452</c:v>
                </c:pt>
                <c:pt idx="19">
                  <c:v>23.113599094104259</c:v>
                </c:pt>
                <c:pt idx="20">
                  <c:v>23.543805184267804</c:v>
                </c:pt>
                <c:pt idx="21">
                  <c:v>23.95808827184036</c:v>
                </c:pt>
                <c:pt idx="22">
                  <c:v>24.358659865173902</c:v>
                </c:pt>
                <c:pt idx="23">
                  <c:v>24.747391504463817</c:v>
                </c:pt>
                <c:pt idx="24">
                  <c:v>25.125882492754148</c:v>
                </c:pt>
                <c:pt idx="25">
                  <c:v>25.495511758163598</c:v>
                </c:pt>
                <c:pt idx="26">
                  <c:v>25.857478108656032</c:v>
                </c:pt>
                <c:pt idx="27">
                  <c:v>26.212831864972564</c:v>
                </c:pt>
                <c:pt idx="28">
                  <c:v>26.5625</c:v>
                </c:pt>
                <c:pt idx="29">
                  <c:v>26.907306325663424</c:v>
                </c:pt>
                <c:pt idx="30">
                  <c:v>27.247987859305795</c:v>
                </c:pt>
                <c:pt idx="31">
                  <c:v>27.585208211963447</c:v>
                </c:pt>
                <c:pt idx="32">
                  <c:v>27.919568633062273</c:v>
                </c:pt>
                <c:pt idx="33">
                  <c:v>28.251617194837557</c:v>
                </c:pt>
                <c:pt idx="34">
                  <c:v>28.581856488437555</c:v>
                </c:pt>
                <c:pt idx="35">
                  <c:v>28.910750120772285</c:v>
                </c:pt>
                <c:pt idx="36">
                  <c:v>29.238728238809827</c:v>
                </c:pt>
                <c:pt idx="37">
                  <c:v>29.566192260665854</c:v>
                </c:pt>
                <c:pt idx="38">
                  <c:v>29.893518956553205</c:v>
                </c:pt>
                <c:pt idx="39">
                  <c:v>30.221063994641806</c:v>
                </c:pt>
                <c:pt idx="40">
                  <c:v>30.549165045084816</c:v>
                </c:pt>
                <c:pt idx="41">
                  <c:v>30.878144518401584</c:v>
                </c:pt>
                <c:pt idx="42">
                  <c:v>31.208312000968295</c:v>
                </c:pt>
                <c:pt idx="43">
                  <c:v>31.539966439732417</c:v>
                </c:pt>
                <c:pt idx="44">
                  <c:v>31.873398119820216</c:v>
                </c:pt>
                <c:pt idx="45">
                  <c:v>32.208890471982215</c:v>
                </c:pt>
                <c:pt idx="46">
                  <c:v>32.546721741465596</c:v>
                </c:pt>
                <c:pt idx="47">
                  <c:v>32.887166545645862</c:v>
                </c:pt>
                <c:pt idx="48">
                  <c:v>33.230497344384908</c:v>
                </c:pt>
                <c:pt idx="49">
                  <c:v>33.576985844452643</c:v>
                </c:pt>
                <c:pt idx="50">
                  <c:v>33.92690435733293</c:v>
                </c:pt>
                <c:pt idx="51">
                  <c:v>34.280527128242461</c:v>
                </c:pt>
                <c:pt idx="52">
                  <c:v>34.638131653155263</c:v>
                </c:pt>
                <c:pt idx="53">
                  <c:v>35</c:v>
                </c:pt>
                <c:pt idx="54">
                  <c:v>35.366420149949697</c:v>
                </c:pt>
                <c:pt idx="55">
                  <c:v>35.737687374840014</c:v>
                </c:pt>
                <c:pt idx="56">
                  <c:v>36.114105667227591</c:v>
                </c:pt>
                <c:pt idx="57">
                  <c:v>36.495989240447223</c:v>
                </c:pt>
                <c:pt idx="58">
                  <c:v>36.883664117267678</c:v>
                </c:pt>
                <c:pt idx="59">
                  <c:v>37.277469827420695</c:v>
                </c:pt>
                <c:pt idx="60">
                  <c:v>37.677761236439508</c:v>
                </c:pt>
                <c:pt idx="61">
                  <c:v>38.084910530967022</c:v>
                </c:pt>
                <c:pt idx="62">
                  <c:v>38.499309389075378</c:v>
                </c:pt>
                <c:pt idx="63">
                  <c:v>38.921371368303262</c:v>
                </c:pt>
                <c:pt idx="64">
                  <c:v>39.351534549224304</c:v>
                </c:pt>
                <c:pt idx="65">
                  <c:v>39.790264478614375</c:v>
                </c:pt>
                <c:pt idx="66">
                  <c:v>40.238057463947804</c:v>
                </c:pt>
                <c:pt idx="67">
                  <c:v>40.695444280358394</c:v>
                </c:pt>
                <c:pt idx="68">
                  <c:v>41.162994362780616</c:v>
                </c:pt>
                <c:pt idx="69">
                  <c:v>41.641320570297296</c:v>
                </c:pt>
                <c:pt idx="70">
                  <c:v>42.131084627487148</c:v>
                </c:pt>
                <c:pt idx="71">
                  <c:v>42.633003369736151</c:v>
                </c:pt>
                <c:pt idx="72">
                  <c:v>43.147855947302673</c:v>
                </c:pt>
                <c:pt idx="73">
                  <c:v>43.676492178065992</c:v>
                </c:pt>
                <c:pt idx="74">
                  <c:v>44.219842283566393</c:v>
                </c:pt>
                <c:pt idx="75">
                  <c:v>44.778928300164154</c:v>
                </c:pt>
                <c:pt idx="76">
                  <c:v>45.354877531000284</c:v>
                </c:pt>
                <c:pt idx="77">
                  <c:v>45.948938500573014</c:v>
                </c:pt>
                <c:pt idx="78">
                  <c:v>46.5625</c:v>
                </c:pt>
                <c:pt idx="79">
                  <c:v>47.197113978470917</c:v>
                </c:pt>
                <c:pt idx="80">
                  <c:v>47.854523260761816</c:v>
                </c:pt>
                <c:pt idx="81">
                  <c:v>48.536695374736695</c:v>
                </c:pt>
                <c:pt idx="82">
                  <c:v>49.245864189843253</c:v>
                </c:pt>
                <c:pt idx="83">
                  <c:v>49.984581647322116</c:v>
                </c:pt>
                <c:pt idx="84">
                  <c:v>50.755782680246398</c:v>
                </c:pt>
                <c:pt idx="85">
                  <c:v>51.562867592239463</c:v>
                </c:pt>
                <c:pt idx="86">
                  <c:v>52.409807869577271</c:v>
                </c:pt>
                <c:pt idx="87">
                  <c:v>53.301283934474398</c:v>
                </c:pt>
                <c:pt idx="88">
                  <c:v>54.242867188543769</c:v>
                </c:pt>
                <c:pt idx="89">
                  <c:v>55.241264657869145</c:v>
                </c:pt>
                <c:pt idx="90">
                  <c:v>56.304654051853767</c:v>
                </c:pt>
                <c:pt idx="91">
                  <c:v>57.443152641167998</c:v>
                </c:pt>
                <c:pt idx="92">
                  <c:v>58.669489829427377</c:v>
                </c:pt>
                <c:pt idx="93">
                  <c:v>60</c:v>
                </c:pt>
                <c:pt idx="94">
                  <c:v>61.456138437217326</c:v>
                </c:pt>
                <c:pt idx="95">
                  <c:v>63.066890967438781</c:v>
                </c:pt>
                <c:pt idx="96">
                  <c:v>64.87279624646284</c:v>
                </c:pt>
                <c:pt idx="97">
                  <c:v>66.933081036091622</c:v>
                </c:pt>
                <c:pt idx="98">
                  <c:v>69.339343196594172</c:v>
                </c:pt>
                <c:pt idx="99">
                  <c:v>72.244661731697533</c:v>
                </c:pt>
                <c:pt idx="100">
                  <c:v>75.93530289404022</c:v>
                </c:pt>
                <c:pt idx="101">
                  <c:v>81.052337478196947</c:v>
                </c:pt>
                <c:pt idx="102">
                  <c:v>89.635974548539039</c:v>
                </c:pt>
                <c:pt idx="103">
                  <c:v>95.873917330447028</c:v>
                </c:pt>
                <c:pt idx="104">
                  <c:v>104.26620360556032</c:v>
                </c:pt>
                <c:pt idx="105">
                  <c:v>117.47494606331345</c:v>
                </c:pt>
                <c:pt idx="106">
                  <c:v>#N/A</c:v>
                </c:pt>
              </c:numCache>
            </c:numRef>
          </c:xVal>
          <c:yVal>
            <c:numRef>
              <c:f>'vertical 1-col layout'!$F$37:$F$143</c:f>
              <c:numCache>
                <c:formatCode>0.000</c:formatCode>
                <c:ptCount val="107"/>
                <c:pt idx="0">
                  <c:v>#N/A</c:v>
                </c:pt>
                <c:pt idx="1">
                  <c:v>1.6049919004539339E-4</c:v>
                </c:pt>
                <c:pt idx="2">
                  <c:v>4.8428105093028433E-4</c:v>
                </c:pt>
                <c:pt idx="3">
                  <c:v>9.7472459927401003E-4</c:v>
                </c:pt>
                <c:pt idx="4">
                  <c:v>1.6347470876534262E-3</c:v>
                </c:pt>
                <c:pt idx="5">
                  <c:v>3.3009303968930879E-3</c:v>
                </c:pt>
                <c:pt idx="6">
                  <c:v>4.9717267327358278E-3</c:v>
                </c:pt>
                <c:pt idx="7">
                  <c:v>6.6307672013204005E-3</c:v>
                </c:pt>
                <c:pt idx="8">
                  <c:v>8.2656467738747852E-3</c:v>
                </c:pt>
                <c:pt idx="9">
                  <c:v>9.8663863465710249E-3</c:v>
                </c:pt>
                <c:pt idx="10">
                  <c:v>1.1424791400623241E-2</c:v>
                </c:pt>
                <c:pt idx="11">
                  <c:v>1.2934111982597222E-2</c:v>
                </c:pt>
                <c:pt idx="12">
                  <c:v>1.4388829654515895E-2</c:v>
                </c:pt>
                <c:pt idx="13">
                  <c:v>1.5784505165885355E-2</c:v>
                </c:pt>
                <c:pt idx="14">
                  <c:v>1.7117657776039557E-2</c:v>
                </c:pt>
                <c:pt idx="15">
                  <c:v>1.8385662368828659E-2</c:v>
                </c:pt>
                <c:pt idx="16">
                  <c:v>1.9586657477901056E-2</c:v>
                </c:pt>
                <c:pt idx="17">
                  <c:v>2.0719460785463224E-2</c:v>
                </c:pt>
                <c:pt idx="18">
                  <c:v>2.178349043125731E-2</c:v>
                </c:pt>
                <c:pt idx="19">
                  <c:v>2.2778691392181312E-2</c:v>
                </c:pt>
                <c:pt idx="20">
                  <c:v>2.370546666137676E-2</c:v>
                </c:pt>
                <c:pt idx="21">
                  <c:v>2.4564613172757033E-2</c:v>
                </c:pt>
                <c:pt idx="22">
                  <c:v>2.5357262494457619E-2</c:v>
                </c:pt>
                <c:pt idx="23">
                  <c:v>2.6084826316305716E-2</c:v>
                </c:pt>
                <c:pt idx="24">
                  <c:v>2.6748946719584832E-2</c:v>
                </c:pt>
                <c:pt idx="25">
                  <c:v>2.7351451164368708E-2</c:v>
                </c:pt>
                <c:pt idx="26">
                  <c:v>2.7894312073629531E-2</c:v>
                </c:pt>
                <c:pt idx="27">
                  <c:v>2.8379610841628339E-2</c:v>
                </c:pt>
                <c:pt idx="28">
                  <c:v>2.8809506050636879E-2</c:v>
                </c:pt>
                <c:pt idx="29">
                  <c:v>2.9186205646427363E-2</c:v>
                </c:pt>
                <c:pt idx="30">
                  <c:v>2.9511942799407442E-2</c:v>
                </c:pt>
                <c:pt idx="31">
                  <c:v>2.9788955164139746E-2</c:v>
                </c:pt>
                <c:pt idx="32">
                  <c:v>3.0019467244179029E-2</c:v>
                </c:pt>
                <c:pt idx="33">
                  <c:v>3.0205675570385251E-2</c:v>
                </c:pt>
                <c:pt idx="34">
                  <c:v>3.0349736407782258E-2</c:v>
                </c:pt>
                <c:pt idx="35">
                  <c:v>3.0453755717340728E-2</c:v>
                </c:pt>
                <c:pt idx="36">
                  <c:v>3.0519781113597991E-2</c:v>
                </c:pt>
                <c:pt idx="37">
                  <c:v>3.0549795575761134E-2</c:v>
                </c:pt>
                <c:pt idx="38">
                  <c:v>3.0545712688005291E-2</c:v>
                </c:pt>
                <c:pt idx="39">
                  <c:v>3.0509373203363999E-2</c:v>
                </c:pt>
                <c:pt idx="40">
                  <c:v>3.0442542744344478E-2</c:v>
                </c:pt>
                <c:pt idx="41">
                  <c:v>3.0346910471749807E-2</c:v>
                </c:pt>
                <c:pt idx="42">
                  <c:v>3.0224088570826011E-2</c:v>
                </c:pt>
                <c:pt idx="43">
                  <c:v>3.0075612420546172E-2</c:v>
                </c:pt>
                <c:pt idx="44">
                  <c:v>2.9902941327443602E-2</c:v>
                </c:pt>
                <c:pt idx="45">
                  <c:v>2.9707459719825205E-2</c:v>
                </c:pt>
                <c:pt idx="46">
                  <c:v>2.9490478711397365E-2</c:v>
                </c:pt>
                <c:pt idx="47">
                  <c:v>2.925323795532107E-2</c:v>
                </c:pt>
                <c:pt idx="48">
                  <c:v>2.8996907720511313E-2</c:v>
                </c:pt>
                <c:pt idx="49">
                  <c:v>2.872259113165888E-2</c:v>
                </c:pt>
                <c:pt idx="50">
                  <c:v>2.8431326523044163E-2</c:v>
                </c:pt>
                <c:pt idx="51">
                  <c:v>2.8124089863807891E-2</c:v>
                </c:pt>
                <c:pt idx="52">
                  <c:v>2.7801797219017543E-2</c:v>
                </c:pt>
                <c:pt idx="53">
                  <c:v>2.7465307216702747E-2</c:v>
                </c:pt>
                <c:pt idx="54">
                  <c:v>2.711542349610328E-2</c:v>
                </c:pt>
                <c:pt idx="55">
                  <c:v>2.6752897116756044E-2</c:v>
                </c:pt>
                <c:pt idx="56">
                  <c:v>2.6378428911813013E-2</c:v>
                </c:pt>
                <c:pt idx="57">
                  <c:v>2.5992671772196625E-2</c:v>
                </c:pt>
                <c:pt idx="58">
                  <c:v>2.5596232850923731E-2</c:v>
                </c:pt>
                <c:pt idx="59">
                  <c:v>2.5189675679219453E-2</c:v>
                </c:pt>
                <c:pt idx="60">
                  <c:v>2.4773522187947289E-2</c:v>
                </c:pt>
                <c:pt idx="61">
                  <c:v>2.4348254629447608E-2</c:v>
                </c:pt>
                <c:pt idx="62">
                  <c:v>2.391431739614101E-2</c:v>
                </c:pt>
                <c:pt idx="63">
                  <c:v>2.3472118733250696E-2</c:v>
                </c:pt>
                <c:pt idx="64">
                  <c:v>2.3022032343758429E-2</c:v>
                </c:pt>
                <c:pt idx="65">
                  <c:v>2.2564398884256043E-2</c:v>
                </c:pt>
                <c:pt idx="66">
                  <c:v>2.2099527350708824E-2</c:v>
                </c:pt>
                <c:pt idx="67">
                  <c:v>2.1627696353324139E-2</c:v>
                </c:pt>
                <c:pt idx="68">
                  <c:v>2.1149155279729551E-2</c:v>
                </c:pt>
                <c:pt idx="69">
                  <c:v>2.0664125345515472E-2</c:v>
                </c:pt>
                <c:pt idx="70">
                  <c:v>2.0172800530890621E-2</c:v>
                </c:pt>
                <c:pt idx="71">
                  <c:v>1.9675348401730269E-2</c:v>
                </c:pt>
                <c:pt idx="72">
                  <c:v>1.9171910812658632E-2</c:v>
                </c:pt>
                <c:pt idx="73">
                  <c:v>1.8662604488981903E-2</c:v>
                </c:pt>
                <c:pt idx="74">
                  <c:v>1.8147521483253586E-2</c:v>
                </c:pt>
                <c:pt idx="75">
                  <c:v>1.7626729500975217E-2</c:v>
                </c:pt>
                <c:pt idx="76">
                  <c:v>1.7100272088367653E-2</c:v>
                </c:pt>
                <c:pt idx="77">
                  <c:v>1.6568168673228644E-2</c:v>
                </c:pt>
                <c:pt idx="78">
                  <c:v>1.6030414447539332E-2</c:v>
                </c:pt>
                <c:pt idx="79">
                  <c:v>1.5486980077585427E-2</c:v>
                </c:pt>
                <c:pt idx="80">
                  <c:v>1.4937811223770626E-2</c:v>
                </c:pt>
                <c:pt idx="81">
                  <c:v>1.4382827847822695E-2</c:v>
                </c:pt>
                <c:pt idx="82">
                  <c:v>1.3821923279457093E-2</c:v>
                </c:pt>
                <c:pt idx="83">
                  <c:v>1.3254963007400842E-2</c:v>
                </c:pt>
                <c:pt idx="84">
                  <c:v>1.2681783150478781E-2</c:v>
                </c:pt>
                <c:pt idx="85">
                  <c:v>1.210218855250726E-2</c:v>
                </c:pt>
                <c:pt idx="86">
                  <c:v>1.151595042900075E-2</c:v>
                </c:pt>
                <c:pt idx="87">
                  <c:v>1.0922803472687969E-2</c:v>
                </c:pt>
                <c:pt idx="88">
                  <c:v>1.0322442296356642E-2</c:v>
                </c:pt>
                <c:pt idx="89">
                  <c:v>9.714517052284849E-3</c:v>
                </c:pt>
                <c:pt idx="90">
                  <c:v>9.0986280123499692E-3</c:v>
                </c:pt>
                <c:pt idx="91">
                  <c:v>8.4743188137195238E-3</c:v>
                </c:pt>
                <c:pt idx="92">
                  <c:v>7.8410679585753911E-3</c:v>
                </c:pt>
                <c:pt idx="93">
                  <c:v>7.1982779802397499E-3</c:v>
                </c:pt>
                <c:pt idx="94">
                  <c:v>6.545261413095119E-3</c:v>
                </c:pt>
                <c:pt idx="95">
                  <c:v>5.8812222576714521E-3</c:v>
                </c:pt>
                <c:pt idx="96">
                  <c:v>5.2052308752400141E-3</c:v>
                </c:pt>
                <c:pt idx="97">
                  <c:v>4.5161888882822411E-3</c:v>
                </c:pt>
                <c:pt idx="98">
                  <c:v>3.8127780530524576E-3</c:v>
                </c:pt>
                <c:pt idx="99">
                  <c:v>3.0933815858209253E-3</c:v>
                </c:pt>
                <c:pt idx="100">
                  <c:v>2.3559534258394705E-3</c:v>
                </c:pt>
                <c:pt idx="101">
                  <c:v>1.5977742463860927E-3</c:v>
                </c:pt>
                <c:pt idx="102">
                  <c:v>8.1489517202902877E-4</c:v>
                </c:pt>
                <c:pt idx="103">
                  <c:v>4.9345807442339931E-4</c:v>
                </c:pt>
                <c:pt idx="104">
                  <c:v>2.4865697662125331E-4</c:v>
                </c:pt>
                <c:pt idx="105">
                  <c:v>8.3385821213431433E-5</c:v>
                </c:pt>
                <c:pt idx="106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5BB-4639-9CEA-564D57F2C512}"/>
            </c:ext>
          </c:extLst>
        </c:ser>
        <c:ser>
          <c:idx val="1"/>
          <c:order val="1"/>
          <c:tx>
            <c:v>input data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FF00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'vertical 1-col layout'!$E$31:$E$35</c:f>
              <c:numCache>
                <c:formatCode>0.0</c:formatCode>
                <c:ptCount val="5"/>
                <c:pt idx="0">
                  <c:v>#N/A</c:v>
                </c:pt>
                <c:pt idx="1">
                  <c:v>20</c:v>
                </c:pt>
                <c:pt idx="2">
                  <c:v>35</c:v>
                </c:pt>
                <c:pt idx="3">
                  <c:v>60</c:v>
                </c:pt>
                <c:pt idx="4">
                  <c:v>#N/A</c:v>
                </c:pt>
              </c:numCache>
            </c:numRef>
          </c:xVal>
          <c:yVal>
            <c:numRef>
              <c:f>'vertical 1-col layout'!$F$31:$F$35</c:f>
              <c:numCache>
                <c:formatCode>0.000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5BB-4639-9CEA-564D57F2C5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00126264"/>
        <c:axId val="700126656"/>
      </c:scatterChart>
      <c:valAx>
        <c:axId val="700126264"/>
        <c:scaling>
          <c:orientation val="minMax"/>
        </c:scaling>
        <c:delete val="0"/>
        <c:axPos val="b"/>
        <c:title>
          <c:tx>
            <c:strRef>
              <c:f>'vertical 1-col layout'!$D$23</c:f>
              <c:strCache>
                <c:ptCount val="1"/>
                <c:pt idx="0">
                  <c:v>1</c:v>
                </c:pt>
              </c:strCache>
            </c:strRef>
          </c:tx>
          <c:layout>
            <c:manualLayout>
              <c:xMode val="edge"/>
              <c:yMode val="edge"/>
              <c:x val="0.48826574803149597"/>
              <c:y val="0.8846830977860537"/>
            </c:manualLayout>
          </c:layout>
          <c:overlay val="0"/>
          <c:spPr>
            <a:noFill/>
            <a:ln w="25400">
              <a:noFill/>
            </a:ln>
          </c:spPr>
          <c:txPr>
            <a:bodyPr/>
            <a:lstStyle/>
            <a:p>
              <a:pPr>
                <a:defRPr/>
              </a:pPr>
              <a:endParaRPr lang="en-US"/>
            </a:p>
          </c:tx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00126656"/>
        <c:crosses val="autoZero"/>
        <c:crossBetween val="midCat"/>
      </c:valAx>
      <c:valAx>
        <c:axId val="70012665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en-US"/>
          </a:p>
        </c:txPr>
        <c:crossAx val="700126264"/>
        <c:crosses val="autoZero"/>
        <c:crossBetween val="midCat"/>
      </c:valAx>
      <c:spPr>
        <a:solidFill>
          <a:schemeClr val="bg1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7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22091</xdr:colOff>
      <xdr:row>8</xdr:row>
      <xdr:rowOff>9480</xdr:rowOff>
    </xdr:from>
    <xdr:to>
      <xdr:col>6</xdr:col>
      <xdr:colOff>309563</xdr:colOff>
      <xdr:row>18</xdr:row>
      <xdr:rowOff>135901</xdr:rowOff>
    </xdr:to>
    <xdr:graphicFrame macro="">
      <xdr:nvGraphicFramePr>
        <xdr:cNvPr id="2" name="Metalog Cumulative Chart">
          <a:extLst>
            <a:ext uri="{FF2B5EF4-FFF2-40B4-BE49-F238E27FC236}">
              <a16:creationId xmlns:a16="http://schemas.microsoft.com/office/drawing/2014/main" id="{6277A0CA-5654-4D1C-88A5-4B06915146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381008</xdr:colOff>
      <xdr:row>8</xdr:row>
      <xdr:rowOff>25977</xdr:rowOff>
    </xdr:from>
    <xdr:to>
      <xdr:col>10</xdr:col>
      <xdr:colOff>123824</xdr:colOff>
      <xdr:row>18</xdr:row>
      <xdr:rowOff>152400</xdr:rowOff>
    </xdr:to>
    <xdr:graphicFrame macro="">
      <xdr:nvGraphicFramePr>
        <xdr:cNvPr id="3" name="Metalog Density Chart">
          <a:extLst>
            <a:ext uri="{FF2B5EF4-FFF2-40B4-BE49-F238E27FC236}">
              <a16:creationId xmlns:a16="http://schemas.microsoft.com/office/drawing/2014/main" id="{49B86044-28CD-4B67-B4CA-F4C1B1A219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metalogdistributions.com/downloads/sipmath.html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Q143"/>
  <sheetViews>
    <sheetView tabSelected="1" zoomScaleNormal="100" workbookViewId="0">
      <selection activeCell="A2" sqref="A2"/>
    </sheetView>
  </sheetViews>
  <sheetFormatPr defaultRowHeight="14.5" x14ac:dyDescent="0.35"/>
  <cols>
    <col min="1" max="1" width="3.1796875" customWidth="1"/>
    <col min="2" max="2" width="2.54296875" customWidth="1"/>
    <col min="3" max="3" width="4.54296875" customWidth="1"/>
    <col min="4" max="4" width="11.1796875" customWidth="1"/>
    <col min="5" max="5" width="9.1796875" customWidth="1"/>
    <col min="6" max="8" width="11.1796875" customWidth="1"/>
    <col min="9" max="9" width="11.26953125" customWidth="1"/>
    <col min="11" max="11" width="11.1796875" customWidth="1"/>
    <col min="12" max="12" width="10.54296875" style="2" customWidth="1"/>
    <col min="13" max="13" width="12" style="2" customWidth="1"/>
    <col min="14" max="14" width="9.54296875" bestFit="1" customWidth="1"/>
  </cols>
  <sheetData>
    <row r="1" spans="1:13" x14ac:dyDescent="0.35">
      <c r="A1" t="s">
        <v>49</v>
      </c>
    </row>
    <row r="2" spans="1:13" x14ac:dyDescent="0.35">
      <c r="C2" s="1"/>
    </row>
    <row r="3" spans="1:13" x14ac:dyDescent="0.35">
      <c r="C3" s="1"/>
    </row>
    <row r="4" spans="1:13" x14ac:dyDescent="0.35">
      <c r="C4" s="1"/>
    </row>
    <row r="5" spans="1:13" x14ac:dyDescent="0.35">
      <c r="C5" s="1"/>
    </row>
    <row r="6" spans="1:13" x14ac:dyDescent="0.35">
      <c r="C6" s="1"/>
    </row>
    <row r="7" spans="1:13" x14ac:dyDescent="0.35">
      <c r="L7"/>
      <c r="M7"/>
    </row>
    <row r="8" spans="1:13" x14ac:dyDescent="0.35">
      <c r="L8"/>
      <c r="M8"/>
    </row>
    <row r="9" spans="1:13" ht="15" customHeight="1" x14ac:dyDescent="0.35">
      <c r="L9"/>
      <c r="M9"/>
    </row>
    <row r="10" spans="1:13" x14ac:dyDescent="0.35">
      <c r="L10"/>
      <c r="M10"/>
    </row>
    <row r="11" spans="1:13" x14ac:dyDescent="0.35">
      <c r="L11"/>
      <c r="M11"/>
    </row>
    <row r="12" spans="1:13" x14ac:dyDescent="0.35">
      <c r="L12"/>
      <c r="M12"/>
    </row>
    <row r="13" spans="1:13" x14ac:dyDescent="0.35">
      <c r="L13"/>
      <c r="M13"/>
    </row>
    <row r="14" spans="1:13" ht="15" customHeight="1" x14ac:dyDescent="0.35"/>
    <row r="17" spans="4:17" x14ac:dyDescent="0.35">
      <c r="L17" s="3" t="s">
        <v>0</v>
      </c>
      <c r="M17" s="4" t="s">
        <v>1</v>
      </c>
      <c r="N17" s="5" t="s">
        <v>2</v>
      </c>
      <c r="O17" s="5" t="s">
        <v>3</v>
      </c>
      <c r="P17" s="5" t="s">
        <v>4</v>
      </c>
      <c r="Q17" s="6" t="s">
        <v>5</v>
      </c>
    </row>
    <row r="18" spans="4:17" x14ac:dyDescent="0.35">
      <c r="L18" s="7" t="s">
        <v>6</v>
      </c>
      <c r="M18" s="4" t="s">
        <v>10</v>
      </c>
      <c r="N18" s="11">
        <v>0.1</v>
      </c>
      <c r="O18" s="11">
        <v>0.1</v>
      </c>
      <c r="P18" s="11">
        <v>0.1</v>
      </c>
      <c r="Q18" s="12">
        <v>0.1</v>
      </c>
    </row>
    <row r="19" spans="4:17" x14ac:dyDescent="0.35">
      <c r="L19" s="8"/>
      <c r="M19" s="4" t="s">
        <v>12</v>
      </c>
      <c r="N19" s="16" t="s">
        <v>13</v>
      </c>
      <c r="O19" s="16" t="s">
        <v>14</v>
      </c>
      <c r="P19" s="16" t="s">
        <v>15</v>
      </c>
      <c r="Q19" s="17" t="s">
        <v>13</v>
      </c>
    </row>
    <row r="20" spans="4:17" x14ac:dyDescent="0.35">
      <c r="L20" s="8" t="s">
        <v>9</v>
      </c>
      <c r="M20" s="4" t="s">
        <v>18</v>
      </c>
      <c r="N20" s="83">
        <v>10</v>
      </c>
      <c r="O20" s="83">
        <v>10</v>
      </c>
      <c r="P20" s="83">
        <v>10</v>
      </c>
      <c r="Q20" s="84">
        <v>10</v>
      </c>
    </row>
    <row r="21" spans="4:17" x14ac:dyDescent="0.35">
      <c r="D21" s="13" t="s">
        <v>11</v>
      </c>
      <c r="E21" s="14"/>
      <c r="F21" s="15"/>
      <c r="L21" s="80"/>
      <c r="M21" s="25" t="s">
        <v>19</v>
      </c>
      <c r="N21" s="83">
        <v>20</v>
      </c>
      <c r="O21" s="83">
        <v>20</v>
      </c>
      <c r="P21" s="83">
        <v>20</v>
      </c>
      <c r="Q21" s="84">
        <f>IF(Q19="u",Q28+Q29*LN(Q18/(1-Q18))+Q30*(Q18-0.5)*LN(Q18/(1-Q18)),NA())</f>
        <v>19.999999999999993</v>
      </c>
    </row>
    <row r="22" spans="4:17" x14ac:dyDescent="0.35">
      <c r="D22" s="18" t="s">
        <v>9</v>
      </c>
      <c r="E22" s="19" t="s">
        <v>16</v>
      </c>
      <c r="F22" s="20"/>
      <c r="L22" s="82" t="s">
        <v>48</v>
      </c>
      <c r="M22" s="4" t="s">
        <v>20</v>
      </c>
      <c r="N22" s="83">
        <v>35</v>
      </c>
      <c r="O22" s="83">
        <v>35</v>
      </c>
      <c r="P22" s="83">
        <v>35</v>
      </c>
      <c r="Q22" s="84">
        <f>IF(Q19="u",Q28, NA())</f>
        <v>35</v>
      </c>
    </row>
    <row r="23" spans="4:17" x14ac:dyDescent="0.35">
      <c r="D23" s="21">
        <v>1</v>
      </c>
      <c r="E23" s="22" t="str">
        <f>D24 &amp; " CDF"</f>
        <v>metalog_1 CDF</v>
      </c>
      <c r="F23" s="23" t="str">
        <f>D24 &amp; " PDF"</f>
        <v>metalog_1 PDF</v>
      </c>
      <c r="L23" s="64" t="s">
        <v>17</v>
      </c>
      <c r="M23" s="4" t="s">
        <v>21</v>
      </c>
      <c r="N23" s="83">
        <v>60</v>
      </c>
      <c r="O23" s="83">
        <v>60</v>
      </c>
      <c r="P23" s="83">
        <v>60</v>
      </c>
      <c r="Q23" s="84">
        <f>IF(Q19="u",Q28+Q29*LN((1-Q18)/(Q18))+Q30*(0.5-Q18)*LN((1-Q18)/Q18))</f>
        <v>60</v>
      </c>
    </row>
    <row r="24" spans="4:17" x14ac:dyDescent="0.35">
      <c r="D24" s="26" t="str">
        <f>INDEX( N17:APN17, 1, $D23 )</f>
        <v>metalog_1</v>
      </c>
      <c r="E24" s="27">
        <f>INDEX( N26:APN26, 1, D23 )</f>
        <v>20.000000000000004</v>
      </c>
      <c r="F24" s="28">
        <f>INDEX( N27:APN27, 1, $D23 )</f>
        <v>0.1</v>
      </c>
      <c r="L24" s="81"/>
      <c r="M24" s="4" t="s">
        <v>22</v>
      </c>
      <c r="N24" s="85">
        <v>100</v>
      </c>
      <c r="O24" s="85">
        <v>100</v>
      </c>
      <c r="P24" s="85">
        <v>100</v>
      </c>
      <c r="Q24" s="86">
        <v>100</v>
      </c>
    </row>
    <row r="25" spans="4:17" x14ac:dyDescent="0.35">
      <c r="D25" s="26"/>
      <c r="E25" s="29">
        <f>INDEX( N18:APN18, 1, $D23 )</f>
        <v>0.1</v>
      </c>
      <c r="F25" s="30" t="str">
        <f>INDEX( N19:APN19, 1, $D23 )</f>
        <v>u</v>
      </c>
      <c r="L25" s="8"/>
      <c r="M25" s="38" t="s">
        <v>24</v>
      </c>
      <c r="N25" s="39" t="str">
        <f>IF(AND(N19&lt;&gt;"u",N19&lt;&gt;"sl",N19&lt;&gt;"su",N19&lt;&gt;"b"),"You must enter u, sl, su, or b for metalog bounds.",IF(OR(N18="",N18&lt;=0,N18&gt;=0.5),"Low probability must be greater than 0 and less than 0.5.",IF(OR(NOT(ISNUMBER(N21)),NOT(ISNUMBER(N22)),NOT(ISNUMBER(N23))),"Input quantiles must be numeric.",IF(AND(OR(N19="sl",N19="b"),NOT(ISNUMBER(N20))),"You must enter a numeric lower bound.",IF(AND(OR(N19="sl",N19="b"),N20&gt;=MIN(N21,N22,N23)),"Lower bound must be strictly less than all input quantiles.",IF(AND(OR(N19="su",N19="b"),NOT(ISNUMBER(N24))),"You must enter a numeric upper bound.",IF(AND(OR(N19="su",N19="b"),N24&lt;=MAX(N21,N22,N23)),"Upper bound must be strictly greater than all input quantiles.",IF(OR(N21&gt;=MIN(N22,N23),N22&gt;=N23),"Input quantiles must be strictly increasing.",IF(AND(N22&gt;IF(N19="u",N21+(N23-N21)*(1/2)*(1-1.66711*(1/2-N18)),IF(N19="sl",N20+(N21-N20)^(1-(1/2)*(1-1.66711*(1/2-N18)))*(N23-N20)^((1/2)*(1-1.66711*(1/2-N18))),IF(N19="su",N24-(N24-N21)^(1-(1/2)*(1-1.66711*(1/2-N18)))*(N24-N23)^((1/2)*(1-1.66711*(1/2-N18))),IF(N19="b",(N20+N24*((N21-N20)/(N24-N21))^(1-(1/2)*(1-1.66711*(1/2-N18)))*((N23-N20)/(N24-N23))^((1/2)*(1-1.66711*(1/2-N18))))*(1+((N21-N20)/(N24-N21))^(1-(1/2)*(1-1.66711*(1/2-N18)))*((N23-N20)/(N24-N23))^((1/2)*(1-1.66711*(1/2-N18))))^-1,NA())))),N22&lt;IF(N19="u",N21+(N23-N21)*(1-(1/2)*(1-1.66711*(1/2-N18))),IF(N19="sl",N20+(N21-N20)^((1/2)*(1-1.66711*(1/2-N18)))*(N23-N20)^(1-(1/2)*(1-1.66711*(1/2-N18))),IF(N19="su",N24-(N24-N21)^((1/2)*(1-1.66711*(1/2-N18)))*(N24-N23)^(1-(1/2)*(1-1.66711*(1/2-N18))),IF(N19="b",(N20+N24*((N21-N20)/(N24-N21))^((1/2)*(1-1.66711*(1/2-N18)))*((N23-N20)/(N24-N23))^(1-(1/2)*(1-1.66711*(1/2-N18))))*(1+((N21-N20)/(N24-N21))^((1/2)*(1-1.66711*(1/2-N18)))*((N23-N20)/(N24-N23))^(1-(1/2)*(1-1.66711*(1/2-N18))))^-1,NA()))))),"","Enter a feasible median between " &amp; TEXT(IF(N19="u",N21+(N23-N21)*(1/2)*(1-1.66711*(1/2-N18)),IF(N19="sl",N20+(N21-N20)^(1-(1/2)*(1-1.66711*(1/2-N18)))*(N23-N20)^((1/2)*(1-1.66711*(1/2-N18))),IF(N19="su",N24-(N24-N21)^(1-(1/2)*(1-1.66711*(1/2-N18)))*(N24-N23)^((1/2)*(1-1.66711*(1/2-N18))),IF(N19="b",(N20+N24*((N21-N20)/(N24-N21))^(1-(1/2)*(1-1.66711*(1/2-N18)))*((N23-N20)/(N24-N23))^((1/2)*(1-1.66711*(1/2-N18))))*(1+((N21-N20)/(N24-N21))^(1-(1/2)*(1-1.66711*(1/2-N18)))*((N23-N20)/(N24-N23))^((1/2)*(1-1.66711*(1/2-N18))))^-1,NA())))),"0.00") &amp; " and " &amp; TEXT(IF(N19="u",N21+(N23-N21)*(1-(1/2)*(1-1.66711*(1/2-N18))),IF(N19="sl",N20+(N21-N20)^((1/2)*(1-1.66711*(1/2-N18)))*(N23-N20)^(1-(1/2)*(1-1.66711*(1/2-N18))),IF(N19="su",N24-(N24-N21)^((1/2)*(1-1.66711*(1/2-N18)))*(N24-N23)^(1-(1/2)*(1-1.66711*(1/2-N18))),IF(N19="b",(N20+N24*((N21-N20)/(N24-N21))^((1/2)*(1-1.66711*(1/2-N18)))*((N23-N20)/(N24-N23))^(1-(1/2)*(1-1.66711*(1/2-N18))))*(1+((N21-N20)/(N24-N21))^((1/2)*(1-1.66711*(1/2-N18)))*((N23-N20)/(N24-N23))^(1-(1/2)*(1-1.66711*(1/2-N18))))^-1,NA())))),"0.00") &amp; ".")))))))))</f>
        <v/>
      </c>
      <c r="O25" s="40" t="str">
        <f>IF(AND(O19&lt;&gt;"u",O19&lt;&gt;"sl",O19&lt;&gt;"su",O19&lt;&gt;"b"),"You must enter u, sl, su, or b for metalog bounds.",IF(OR(O18="",O18&lt;=0,O18&gt;=0.5),"Low probability must be greater than 0 and less than 0.5.",IF(OR(NOT(ISNUMBER(O21)),NOT(ISNUMBER(O22)),NOT(ISNUMBER(O23))),"Input quantiles must be numeric.",IF(AND(OR(O19="sl",O19="b"),NOT(ISNUMBER(O20))),"You must enter a numeric lower bound.",IF(AND(OR(O19="sl",O19="b"),O20&gt;=MIN(O21,O22,O23)),"Lower bound must be strictly less than all input quantiles.",IF(AND(OR(O19="su",O19="b"),NOT(ISNUMBER(O24))),"You must enter a numeric upper bound.",IF(AND(OR(O19="su",O19="b"),O24&lt;=MAX(O21,O22,O23)),"Upper bound must be strictly greater than all input quantiles.",IF(OR(O21&gt;=MIN(O22,O23),O22&gt;=O23),"Input quantiles must be strictly increasing.",IF(AND(O22&gt;IF(O19="u",O21+(O23-O21)*(1/2)*(1-1.66711*(1/2-O18)),IF(O19="sl",O20+(O21-O20)^(1-(1/2)*(1-1.66711*(1/2-O18)))*(O23-O20)^((1/2)*(1-1.66711*(1/2-O18))),IF(O19="su",O24-(O24-O21)^(1-(1/2)*(1-1.66711*(1/2-O18)))*(O24-O23)^((1/2)*(1-1.66711*(1/2-O18))),IF(O19="b",(O20+O24*((O21-O20)/(O24-O21))^(1-(1/2)*(1-1.66711*(1/2-O18)))*((O23-O20)/(O24-O23))^((1/2)*(1-1.66711*(1/2-O18))))*(1+((O21-O20)/(O24-O21))^(1-(1/2)*(1-1.66711*(1/2-O18)))*((O23-O20)/(O24-O23))^((1/2)*(1-1.66711*(1/2-O18))))^-1,NA())))),O22&lt;IF(O19="u",O21+(O23-O21)*(1-(1/2)*(1-1.66711*(1/2-O18))),IF(O19="sl",O20+(O21-O20)^((1/2)*(1-1.66711*(1/2-O18)))*(O23-O20)^(1-(1/2)*(1-1.66711*(1/2-O18))),IF(O19="su",O24-(O24-O21)^((1/2)*(1-1.66711*(1/2-O18)))*(O24-O23)^(1-(1/2)*(1-1.66711*(1/2-O18))),IF(O19="b",(O20+O24*((O21-O20)/(O24-O21))^((1/2)*(1-1.66711*(1/2-O18)))*((O23-O20)/(O24-O23))^(1-(1/2)*(1-1.66711*(1/2-O18))))*(1+((O21-O20)/(O24-O21))^((1/2)*(1-1.66711*(1/2-O18)))*((O23-O20)/(O24-O23))^(1-(1/2)*(1-1.66711*(1/2-O18))))^-1,NA()))))),"","Enter a feasible median between " &amp; TEXT(IF(O19="u",O21+(O23-O21)*(1/2)*(1-1.66711*(1/2-O18)),IF(O19="sl",O20+(O21-O20)^(1-(1/2)*(1-1.66711*(1/2-O18)))*(O23-O20)^((1/2)*(1-1.66711*(1/2-O18))),IF(O19="su",O24-(O24-O21)^(1-(1/2)*(1-1.66711*(1/2-O18)))*(O24-O23)^((1/2)*(1-1.66711*(1/2-O18))),IF(O19="b",(O20+O24*((O21-O20)/(O24-O21))^(1-(1/2)*(1-1.66711*(1/2-O18)))*((O23-O20)/(O24-O23))^((1/2)*(1-1.66711*(1/2-O18))))*(1+((O21-O20)/(O24-O21))^(1-(1/2)*(1-1.66711*(1/2-O18)))*((O23-O20)/(O24-O23))^((1/2)*(1-1.66711*(1/2-O18))))^-1,NA())))),"0.00") &amp; " and " &amp; TEXT(IF(O19="u",O21+(O23-O21)*(1-(1/2)*(1-1.66711*(1/2-O18))),IF(O19="sl",O20+(O21-O20)^((1/2)*(1-1.66711*(1/2-O18)))*(O23-O20)^(1-(1/2)*(1-1.66711*(1/2-O18))),IF(O19="su",O24-(O24-O21)^((1/2)*(1-1.66711*(1/2-O18)))*(O24-O23)^(1-(1/2)*(1-1.66711*(1/2-O18))),IF(O19="b",(O20+O24*((O21-O20)/(O24-O21))^((1/2)*(1-1.66711*(1/2-O18)))*((O23-O20)/(O24-O23))^(1-(1/2)*(1-1.66711*(1/2-O18))))*(1+((O21-O20)/(O24-O21))^((1/2)*(1-1.66711*(1/2-O18)))*((O23-O20)/(O24-O23))^(1-(1/2)*(1-1.66711*(1/2-O18))))^-1,NA())))),"0.00") &amp; ".")))))))))</f>
        <v/>
      </c>
      <c r="P25" s="40" t="str">
        <f>IF(AND(P19&lt;&gt;"u",P19&lt;&gt;"sl",P19&lt;&gt;"su",P19&lt;&gt;"b"),"You must enter u, sl, su, or b for metalog bounds.",IF(OR(P18="",P18&lt;=0,P18&gt;=0.5),"Low probability must be greater than 0 and less than 0.5.",IF(OR(NOT(ISNUMBER(P21)),NOT(ISNUMBER(P22)),NOT(ISNUMBER(P23))),"Input quantiles must be numeric.",IF(AND(OR(P19="sl",P19="b"),NOT(ISNUMBER(P20))),"You must enter a numeric lower bound.",IF(AND(OR(P19="sl",P19="b"),P20&gt;=MIN(P21,P22,P23)),"Lower bound must be strictly less than all input quantiles.",IF(AND(OR(P19="su",P19="b"),NOT(ISNUMBER(P24))),"You must enter a numeric upper bound.",IF(AND(OR(P19="su",P19="b"),P24&lt;=MAX(P21,P22,P23)),"Upper bound must be strictly greater than all input quantiles.",IF(OR(P21&gt;=MIN(P22,P23),P22&gt;=P23),"Input quantiles must be strictly increasing.",IF(AND(P22&gt;IF(P19="u",P21+(P23-P21)*(1/2)*(1-1.66711*(1/2-P18)),IF(P19="sl",P20+(P21-P20)^(1-(1/2)*(1-1.66711*(1/2-P18)))*(P23-P20)^((1/2)*(1-1.66711*(1/2-P18))),IF(P19="su",P24-(P24-P21)^(1-(1/2)*(1-1.66711*(1/2-P18)))*(P24-P23)^((1/2)*(1-1.66711*(1/2-P18))),IF(P19="b",(P20+P24*((P21-P20)/(P24-P21))^(1-(1/2)*(1-1.66711*(1/2-P18)))*((P23-P20)/(P24-P23))^((1/2)*(1-1.66711*(1/2-P18))))*(1+((P21-P20)/(P24-P21))^(1-(1/2)*(1-1.66711*(1/2-P18)))*((P23-P20)/(P24-P23))^((1/2)*(1-1.66711*(1/2-P18))))^-1,NA())))),P22&lt;IF(P19="u",P21+(P23-P21)*(1-(1/2)*(1-1.66711*(1/2-P18))),IF(P19="sl",P20+(P21-P20)^((1/2)*(1-1.66711*(1/2-P18)))*(P23-P20)^(1-(1/2)*(1-1.66711*(1/2-P18))),IF(P19="su",P24-(P24-P21)^((1/2)*(1-1.66711*(1/2-P18)))*(P24-P23)^(1-(1/2)*(1-1.66711*(1/2-P18))),IF(P19="b",(P20+P24*((P21-P20)/(P24-P21))^((1/2)*(1-1.66711*(1/2-P18)))*((P23-P20)/(P24-P23))^(1-(1/2)*(1-1.66711*(1/2-P18))))*(1+((P21-P20)/(P24-P21))^((1/2)*(1-1.66711*(1/2-P18)))*((P23-P20)/(P24-P23))^(1-(1/2)*(1-1.66711*(1/2-P18))))^-1,NA()))))),"","Enter a feasible median between " &amp; TEXT(IF(P19="u",P21+(P23-P21)*(1/2)*(1-1.66711*(1/2-P18)),IF(P19="sl",P20+(P21-P20)^(1-(1/2)*(1-1.66711*(1/2-P18)))*(P23-P20)^((1/2)*(1-1.66711*(1/2-P18))),IF(P19="su",P24-(P24-P21)^(1-(1/2)*(1-1.66711*(1/2-P18)))*(P24-P23)^((1/2)*(1-1.66711*(1/2-P18))),IF(P19="b",(P20+P24*((P21-P20)/(P24-P21))^(1-(1/2)*(1-1.66711*(1/2-P18)))*((P23-P20)/(P24-P23))^((1/2)*(1-1.66711*(1/2-P18))))*(1+((P21-P20)/(P24-P21))^(1-(1/2)*(1-1.66711*(1/2-P18)))*((P23-P20)/(P24-P23))^((1/2)*(1-1.66711*(1/2-P18))))^-1,NA())))),"0.00") &amp; " and " &amp; TEXT(IF(P19="u",P21+(P23-P21)*(1-(1/2)*(1-1.66711*(1/2-P18))),IF(P19="sl",P20+(P21-P20)^((1/2)*(1-1.66711*(1/2-P18)))*(P23-P20)^(1-(1/2)*(1-1.66711*(1/2-P18))),IF(P19="su",P24-(P24-P21)^((1/2)*(1-1.66711*(1/2-P18)))*(P24-P23)^(1-(1/2)*(1-1.66711*(1/2-P18))),IF(P19="b",(P20+P24*((P21-P20)/(P24-P21))^((1/2)*(1-1.66711*(1/2-P18)))*((P23-P20)/(P24-P23))^(1-(1/2)*(1-1.66711*(1/2-P18))))*(1+((P21-P20)/(P24-P21))^((1/2)*(1-1.66711*(1/2-P18)))*((P23-P20)/(P24-P23))^(1-(1/2)*(1-1.66711*(1/2-P18))))^-1,NA())))),"0.00") &amp; ".")))))))))</f>
        <v/>
      </c>
      <c r="Q25" s="41" t="str">
        <f>IF(AND(Q19&lt;&gt;"u",Q19&lt;&gt;"sl",Q19&lt;&gt;"su",Q19&lt;&gt;"b"),"You must enter u, sl, su, or b for metalog bounds.",IF(OR(Q18="",Q18&lt;=0,Q18&gt;=0.5),"Low probability must be greater than 0 and less than 0.5.",IF(OR(NOT(ISNUMBER(Q21)),NOT(ISNUMBER(Q22)),NOT(ISNUMBER(Q23))),"Input quantiles must be numeric.",IF(AND(OR(Q19="sl",Q19="b"),NOT(ISNUMBER(Q20))),"You must enter a numeric lower bound.",IF(AND(OR(Q19="sl",Q19="b"),Q20&gt;=MIN(Q21,Q22,Q23)),"Lower bound must be strictly less than all input quantiles.",IF(AND(OR(Q19="su",Q19="b"),NOT(ISNUMBER(Q24))),"You must enter a numeric upper bound.",IF(AND(OR(Q19="su",Q19="b"),Q24&lt;=MAX(Q21,Q22,Q23)),"Upper bound must be strictly greater than all input quantiles.",IF(OR(Q21&gt;=MIN(Q22,Q23),Q22&gt;=Q23),"Input quantiles must be strictly increasing.",IF(AND(Q22&gt;IF(Q19="u",Q21+(Q23-Q21)*(1/2)*(1-1.66711*(1/2-Q18)),IF(Q19="sl",Q20+(Q21-Q20)^(1-(1/2)*(1-1.66711*(1/2-Q18)))*(Q23-Q20)^((1/2)*(1-1.66711*(1/2-Q18))),IF(Q19="su",Q24-(Q24-Q21)^(1-(1/2)*(1-1.66711*(1/2-Q18)))*(Q24-Q23)^((1/2)*(1-1.66711*(1/2-Q18))),IF(Q19="b",(Q20+Q24*((Q21-Q20)/(Q24-Q21))^(1-(1/2)*(1-1.66711*(1/2-Q18)))*((Q23-Q20)/(Q24-Q23))^((1/2)*(1-1.66711*(1/2-Q18))))*(1+((Q21-Q20)/(Q24-Q21))^(1-(1/2)*(1-1.66711*(1/2-Q18)))*((Q23-Q20)/(Q24-Q23))^((1/2)*(1-1.66711*(1/2-Q18))))^-1,NA())))),Q22&lt;IF(Q19="u",Q21+(Q23-Q21)*(1-(1/2)*(1-1.66711*(1/2-Q18))),IF(Q19="sl",Q20+(Q21-Q20)^((1/2)*(1-1.66711*(1/2-Q18)))*(Q23-Q20)^(1-(1/2)*(1-1.66711*(1/2-Q18))),IF(Q19="su",Q24-(Q24-Q21)^((1/2)*(1-1.66711*(1/2-Q18)))*(Q24-Q23)^(1-(1/2)*(1-1.66711*(1/2-Q18))),IF(Q19="b",(Q20+Q24*((Q21-Q20)/(Q24-Q21))^((1/2)*(1-1.66711*(1/2-Q18)))*((Q23-Q20)/(Q24-Q23))^(1-(1/2)*(1-1.66711*(1/2-Q18))))*(1+((Q21-Q20)/(Q24-Q21))^((1/2)*(1-1.66711*(1/2-Q18)))*((Q23-Q20)/(Q24-Q23))^(1-(1/2)*(1-1.66711*(1/2-Q18))))^-1,NA()))))),"","Enter a feasible median between " &amp; TEXT(IF(Q19="u",Q21+(Q23-Q21)*(1/2)*(1-1.66711*(1/2-Q18)),IF(Q19="sl",Q20+(Q21-Q20)^(1-(1/2)*(1-1.66711*(1/2-Q18)))*(Q23-Q20)^((1/2)*(1-1.66711*(1/2-Q18))),IF(Q19="su",Q24-(Q24-Q21)^(1-(1/2)*(1-1.66711*(1/2-Q18)))*(Q24-Q23)^((1/2)*(1-1.66711*(1/2-Q18))),IF(Q19="b",(Q20+Q24*((Q21-Q20)/(Q24-Q21))^(1-(1/2)*(1-1.66711*(1/2-Q18)))*((Q23-Q20)/(Q24-Q23))^((1/2)*(1-1.66711*(1/2-Q18))))*(1+((Q21-Q20)/(Q24-Q21))^(1-(1/2)*(1-1.66711*(1/2-Q18)))*((Q23-Q20)/(Q24-Q23))^((1/2)*(1-1.66711*(1/2-Q18))))^-1,NA())))),"0.00") &amp; " and " &amp; TEXT(IF(Q19="u",Q21+(Q23-Q21)*(1-(1/2)*(1-1.66711*(1/2-Q18))),IF(Q19="sl",Q20+(Q21-Q20)^((1/2)*(1-1.66711*(1/2-Q18)))*(Q23-Q20)^(1-(1/2)*(1-1.66711*(1/2-Q18))),IF(Q19="su",Q24-(Q24-Q21)^((1/2)*(1-1.66711*(1/2-Q18)))*(Q24-Q23)^(1-(1/2)*(1-1.66711*(1/2-Q18))),IF(Q19="b",(Q20+Q24*((Q21-Q20)/(Q24-Q21))^((1/2)*(1-1.66711*(1/2-Q18)))*((Q23-Q20)/(Q24-Q23))^(1-(1/2)*(1-1.66711*(1/2-Q18))))*(1+((Q21-Q20)/(Q24-Q21))^((1/2)*(1-1.66711*(1/2-Q18)))*((Q23-Q20)/(Q24-Q23))^(1-(1/2)*(1-1.66711*(1/2-Q18))))^-1,NA())))),"0.00") &amp; ".")))))))))</f>
        <v/>
      </c>
    </row>
    <row r="26" spans="4:17" x14ac:dyDescent="0.35">
      <c r="D26" s="31">
        <f>INDEX( N20:APN20, 1, $D23 )</f>
        <v>10</v>
      </c>
      <c r="E26" s="32">
        <f>INDEX( N21:APN21, 1, $D23 )</f>
        <v>20</v>
      </c>
      <c r="F26" s="33">
        <f>INDEX( N22:APN22, 1, $D23 )</f>
        <v>35</v>
      </c>
      <c r="L26" s="8"/>
      <c r="M26" s="4" t="s">
        <v>7</v>
      </c>
      <c r="N26" s="87">
        <f>IF(N25&lt;&gt;"","",IF(N19="u",N22+(1/2)*(LN((1-N18)/N18))^-1*(N23-N21)*LN(N27/(1-N27))+((1-2*N18)*(LN((1-N18)/N18)))^-1*(1-2*(N22-N21)/(N23-N21))*(N23-N21)*(N27-0.5)*LN(N27/(1-N27)),IF(N19="sl",N20+EXP(LN(N22-N20)+(1/2)*(LN((1-N18)/N18))^-1*LN((N23-N20)/(N21-N20))*LN(N27/(1-N27))+((1-2*N18)*(LN((1-N18)/N18)))^-1*LN(((N23-N20)*(N21-N20))/(N22-N20)^2)*(N27-0.5)*LN(N27/(1-N27))),IF(N19="su",N24-EXP(-(-LN(N24-N22)-(1/2)*(LN((1-N18)/N18))^-1*LN((N24-N23)/(N24-N21))*LN(N27/(1-N27))-((1-2*N18)*(LN((1-N18)/N18)))^-1*LN(((N24-N23)*(N24-N21))/(N24-N22)^2)*(N27-0.5)*LN(N27/(1-N27)))),IF(N19="b",(N20+N24*EXP(LN((N22-N20)/(N24-N22))+(1/2)*(LN((1-N18)/N18))^-1*LN(((N23-N20)/(N24-N23))/((N21-N20)/(N24-N21)))*LN(N27/(1-N27))+((1-2*N18)*(LN((1-N18)/N18)))^-1*LN((((N23-N20)/(N24-N23))*((N21-N20)/(N24-N21)))/((N22-N20)/(N24-N22))^2)*(N27-0.5)*LN(N27/(1-N27))))/(1+EXP(LN((N22-N20)/(N24-N22))+(1/2)*(LN((1-N18)/N18))^-1*LN(((N23-N20)/(N24-N23))/((N21-N20)/(N24-N21)))*LN(N27/(1-N27))+((1-2*N18)*(LN((1-N18)/N18)))^-1*LN((((N23-N20)/(N24-N23))*((N21-N20)/(N24-N21)))/((N22-N20)/(N24-N22))^2)*(N27-0.5)*LN(N27/(1-N27)))),"")))))</f>
        <v>20.000000000000004</v>
      </c>
      <c r="O26" s="87">
        <f>IF(O25&lt;&gt;"","",IF(O19="u",O22+(1/2)*(LN((1-O18)/O18))^-1*(O23-O21)*LN(O27/(1-O27))+((1-2*O18)*(LN((1-O18)/O18)))^-1*(1-2*(O22-O21)/(O23-O21))*(O23-O21)*(O27-0.5)*LN(O27/(1-O27)),IF(O19="sl",O20+EXP(LN(O22-O20)+(1/2)*(LN((1-O18)/O18))^-1*LN((O23-O20)/(O21-O20))*LN(O27/(1-O27))+((1-2*O18)*(LN((1-O18)/O18)))^-1*LN(((O23-O20)*(O21-O20))/(O22-O20)^2)*(O27-0.5)*LN(O27/(1-O27))),IF(O19="su",O24-EXP(-(-LN(O24-O22)-(1/2)*(LN((1-O18)/O18))^-1*LN((O24-O23)/(O24-O21))*LN(O27/(1-O27))-((1-2*O18)*(LN((1-O18)/O18)))^-1*LN(((O24-O23)*(O24-O21))/(O24-O22)^2)*(O27-0.5)*LN(O27/(1-O27)))),IF(O19="b",(O20+O24*EXP(LN((O22-O20)/(O24-O22))+(1/2)*(LN((1-O18)/O18))^-1*LN(((O23-O20)/(O24-O23))/((O21-O20)/(O24-O21)))*LN(O27/(1-O27))+((1-2*O18)*(LN((1-O18)/O18)))^-1*LN((((O23-O20)/(O24-O23))*((O21-O20)/(O24-O21)))/((O22-O20)/(O24-O22))^2)*(O27-0.5)*LN(O27/(1-O27))))/(1+EXP(LN((O22-O20)/(O24-O22))+(1/2)*(LN((1-O18)/O18))^-1*LN(((O23-O20)/(O24-O23))/((O21-O20)/(O24-O21)))*LN(O27/(1-O27))+((1-2*O18)*(LN((1-O18)/O18)))^-1*LN((((O23-O20)/(O24-O23))*((O21-O20)/(O24-O21)))/((O22-O20)/(O24-O22))^2)*(O27-0.5)*LN(O27/(1-O27)))),"")))))</f>
        <v>24.272851373022021</v>
      </c>
      <c r="P26" s="87">
        <f>IF(P25&lt;&gt;"","",IF(P19="u",P22+(1/2)*(LN((1-P18)/P18))^-1*(P23-P21)*LN(P27/(1-P27))+((1-2*P18)*(LN((1-P18)/P18)))^-1*(1-2*(P22-P21)/(P23-P21))*(P23-P21)*(P27-0.5)*LN(P27/(1-P27)),IF(P19="sl",P20+EXP(LN(P22-P20)+(1/2)*(LN((1-P18)/P18))^-1*LN((P23-P20)/(P21-P20))*LN(P27/(1-P27))+((1-2*P18)*(LN((1-P18)/P18)))^-1*LN(((P23-P20)*(P21-P20))/(P22-P20)^2)*(P27-0.5)*LN(P27/(1-P27))),IF(P19="su",P24-EXP(-(-LN(P24-P22)-(1/2)*(LN((1-P18)/P18))^-1*LN((P24-P23)/(P24-P21))*LN(P27/(1-P27))-((1-2*P18)*(LN((1-P18)/P18)))^-1*LN(((P24-P23)*(P24-P21))/(P24-P22)^2)*(P27-0.5)*LN(P27/(1-P27)))),IF(P19="b",(P20+P24*EXP(LN((P22-P20)/(P24-P22))+(1/2)*(LN((1-P18)/P18))^-1*LN(((P23-P20)/(P24-P23))/((P21-P20)/(P24-P21)))*LN(P27/(1-P27))+((1-2*P18)*(LN((1-P18)/P18)))^-1*LN((((P23-P20)/(P24-P23))*((P21-P20)/(P24-P21)))/((P22-P20)/(P24-P22))^2)*(P27-0.5)*LN(P27/(1-P27))))/(1+EXP(LN((P22-P20)/(P24-P22))+(1/2)*(LN((1-P18)/P18))^-1*LN(((P23-P20)/(P24-P23))/((P21-P20)/(P24-P21)))*LN(P27/(1-P27))+((1-2*P18)*(LN((1-P18)/P18)))^-1*LN((((P23-P20)/(P24-P23))*((P21-P20)/(P24-P21)))/((P22-P20)/(P24-P22))^2)*(P27-0.5)*LN(P27/(1-P27)))),"")))))</f>
        <v>27.669522015909664</v>
      </c>
      <c r="Q26" s="87">
        <f>IF(Q25&lt;&gt;"","",IF(Q19="u",Q22+(1/2)*(LN((1-Q18)/Q18))^-1*(Q23-Q21)*LN(Q27/(1-Q27))+((1-2*Q18)*(LN((1-Q18)/Q18)))^-1*(1-2*(Q22-Q21)/(Q23-Q21))*(Q23-Q21)*(Q27-0.5)*LN(Q27/(1-Q27)),IF(Q19="sl",Q20+EXP(LN(Q22-Q20)+(1/2)*(LN((1-Q18)/Q18))^-1*LN((Q23-Q20)/(Q21-Q20))*LN(Q27/(1-Q27))+((1-2*Q18)*(LN((1-Q18)/Q18)))^-1*LN(((Q23-Q20)*(Q21-Q20))/(Q22-Q20)^2)*(Q27-0.5)*LN(Q27/(1-Q27))),IF(Q19="su",Q24-EXP(-(-LN(Q24-Q22)-(1/2)*(LN((1-Q18)/Q18))^-1*LN((Q24-Q23)/(Q24-Q21))*LN(Q27/(1-Q27))-((1-2*Q18)*(LN((1-Q18)/Q18)))^-1*LN(((Q24-Q23)*(Q24-Q21))/(Q24-Q22)^2)*(Q27-0.5)*LN(Q27/(1-Q27)))),IF(Q19="b",(Q20+Q24*EXP(LN((Q22-Q20)/(Q24-Q22))+(1/2)*(LN((1-Q18)/Q18))^-1*LN(((Q23-Q20)/(Q24-Q23))/((Q21-Q20)/(Q24-Q21)))*LN(Q27/(1-Q27))+((1-2*Q18)*(LN((1-Q18)/Q18)))^-1*LN((((Q23-Q20)/(Q24-Q23))*((Q21-Q20)/(Q24-Q21)))/((Q22-Q20)/(Q24-Q22))^2)*(Q27-0.5)*LN(Q27/(1-Q27))))/(1+EXP(LN((Q22-Q20)/(Q24-Q22))+(1/2)*(LN((1-Q18)/Q18))^-1*LN(((Q23-Q20)/(Q24-Q23))/((Q21-Q20)/(Q24-Q21)))*LN(Q27/(1-Q27))+((1-2*Q18)*(LN((1-Q18)/Q18)))^-1*LN((((Q23-Q20)/(Q24-Q23))*((Q21-Q20)/(Q24-Q21)))/((Q22-Q20)/(Q24-Q22))^2)*(Q27-0.5)*LN(Q27/(1-Q27)))),"")))))</f>
        <v>35</v>
      </c>
    </row>
    <row r="27" spans="4:17" x14ac:dyDescent="0.35">
      <c r="D27" s="34">
        <f>INDEX( N23:APN23, 1, $D23 )</f>
        <v>60</v>
      </c>
      <c r="E27" s="35">
        <f>INDEX( N24:APN24, 1, $D23 )</f>
        <v>100</v>
      </c>
      <c r="F27" s="36" t="str">
        <f>INDEX( N25:APN25, 1, $D23 )</f>
        <v/>
      </c>
      <c r="L27" s="37" t="s">
        <v>23</v>
      </c>
      <c r="M27" s="4" t="s">
        <v>8</v>
      </c>
      <c r="N27" s="9">
        <v>0.1</v>
      </c>
      <c r="O27" s="9">
        <f>N27+0.1</f>
        <v>0.2</v>
      </c>
      <c r="P27" s="9">
        <f>O27+0.1</f>
        <v>0.30000000000000004</v>
      </c>
      <c r="Q27" s="10">
        <v>0.5</v>
      </c>
    </row>
    <row r="28" spans="4:17" ht="16.5" x14ac:dyDescent="0.45">
      <c r="D28" s="42" t="s">
        <v>25</v>
      </c>
      <c r="E28" s="43" t="s">
        <v>26</v>
      </c>
      <c r="F28" s="44" t="s">
        <v>27</v>
      </c>
      <c r="L28" s="3" t="s">
        <v>28</v>
      </c>
      <c r="M28" s="25" t="s">
        <v>29</v>
      </c>
      <c r="N28" s="10">
        <f>IF(N19="u",N22,IF(OR(N19="s",N19="b"),NA(),""))</f>
        <v>35</v>
      </c>
      <c r="O28" s="10" t="str">
        <f>IF(O19="u",O22,IF(OR(O19="s",O19="b"),NA(),""))</f>
        <v/>
      </c>
      <c r="P28" s="10" t="str">
        <f>IF(P19="u",P22,IF(OR(P19="s",P19="b"),NA(),""))</f>
        <v/>
      </c>
      <c r="Q28" s="10">
        <f>Q34-Q30/2</f>
        <v>35</v>
      </c>
    </row>
    <row r="29" spans="4:17" ht="16.5" x14ac:dyDescent="0.45">
      <c r="D29" s="13" t="s">
        <v>17</v>
      </c>
      <c r="E29" s="14"/>
      <c r="F29" s="15"/>
      <c r="L29" s="7" t="s">
        <v>30</v>
      </c>
      <c r="M29" s="25" t="s">
        <v>31</v>
      </c>
      <c r="N29" s="10">
        <f>IF(N19="u",(1/2)*(LN((1-N31)/N31))^-1*(N23-N21),IF(OR(N19="s",N19="b"),NA(),""))</f>
        <v>9.1023922662683727</v>
      </c>
      <c r="O29" s="10" t="str">
        <f>IF(O19="u",(1/2)*(LN((1-O31)/O31))^-1*(O23-O21),IF(OR(O19="s",O19="b"),NA(),""))</f>
        <v/>
      </c>
      <c r="P29" s="10" t="str">
        <f>IF(P19="u",(1/2)*(LN((1-P31)/P31))^-1*(P23-P21),IF(OR(P19="s",P19="b"),NA(),""))</f>
        <v/>
      </c>
      <c r="Q29" s="10">
        <f>IF(Q36=0,SQRT(3*Q35)/PI(),SQRT(Q36/(PI()^2*Q30)-Q30^2/24))</f>
        <v>9.1023922662683763</v>
      </c>
    </row>
    <row r="30" spans="4:17" ht="16.5" x14ac:dyDescent="0.45">
      <c r="D30" s="24" t="s">
        <v>32</v>
      </c>
      <c r="E30" s="45">
        <v>1</v>
      </c>
      <c r="F30" s="46">
        <v>0</v>
      </c>
      <c r="L30" s="8"/>
      <c r="M30" s="25" t="s">
        <v>33</v>
      </c>
      <c r="N30" s="10">
        <f>IF(N19="u",((1-2*N31)*(LN((1-N31)/N31)))^-1*(1-2*N33)*(N23-N21),IF(OR(N19="s",N19="b"),NA(),""))</f>
        <v>5.6889951664177332</v>
      </c>
      <c r="O30" s="10" t="str">
        <f>IF(O19="u",((1-2*O31)*(LN((1-O31)/O31)))^-1*(1-2*O33)*(O23-O21),IF(OR(O19="s",O19="b"),NA(),""))</f>
        <v/>
      </c>
      <c r="P30" s="10" t="str">
        <f>IF(P19="u",((1-2*P31)*(LN((1-P31)/P31)))^-1*(1-2*P33)*(P23-P21),IF(OR(P19="s",P19="b"),NA(),""))</f>
        <v/>
      </c>
      <c r="Q30" s="10">
        <f>IF(Q36=0,0,2*SQRT(Q35/(3*(1/12+PI()^2/72)))*COS((ACOS(-Q36/(6*(1/12+PI()^2/72))/(Q35/(3*(1/12+PI()^2/72)))^(3/2))+4*PI())/3))</f>
        <v>5.6889951664177287</v>
      </c>
    </row>
    <row r="31" spans="4:17" x14ac:dyDescent="0.35">
      <c r="D31" s="47" t="e">
        <f>IF(AND(OR(F25="sl",F25="b"),ISNUMBER(D26)),0,NA())</f>
        <v>#N/A</v>
      </c>
      <c r="E31" s="48" t="e">
        <f>IF(E30&lt;&gt;1,NA(),IF(AND(OR(F25="sl",F25="b"),ISNUMBER(D26)),D26,NA()))</f>
        <v>#N/A</v>
      </c>
      <c r="F31" s="49" t="e">
        <f>IF(F30&lt;&gt;1,NA(),IF(OR(F25="sl",F25="b"),0,NA()))</f>
        <v>#N/A</v>
      </c>
      <c r="L31" s="8"/>
      <c r="M31" s="50" t="s">
        <v>34</v>
      </c>
      <c r="N31" s="10">
        <f>N18</f>
        <v>0.1</v>
      </c>
      <c r="O31" s="10">
        <f>O18</f>
        <v>0.1</v>
      </c>
      <c r="P31" s="10">
        <f>P18</f>
        <v>0.1</v>
      </c>
      <c r="Q31" s="10"/>
    </row>
    <row r="32" spans="4:17" ht="17" x14ac:dyDescent="0.45">
      <c r="D32" s="47">
        <f>E25</f>
        <v>0.1</v>
      </c>
      <c r="E32" s="48">
        <f>IF(E30&lt;&gt;1,NA(),E26)</f>
        <v>20</v>
      </c>
      <c r="F32" s="49" t="e">
        <f>IF(F30&lt;&gt;1,NA(),IF(F27&lt;&gt;"",NA(),IF(F25="u",((1/2)*(LN((1-E25)/E25))^-1*(D27-E26)/(D32*(1-D32))+((1-2*E25)*(LN((1-E25)/E25)))^-1*(1-2*(F26-E26)/(D27-E26))*(D27-E26)*((D32-0.5)/(D32*(1-D32))+LN(D32/(1-D32))))^(-1),IF(F25="sl",((1/2)*(LN((1-E25)/E25))^-1*LN((D27-D26)/(E26-D26))/(D32*(1-D32))+((1-2*E25)*(LN((1-E25)/E25)))^-1*LN(((D27-D26)*(E26-D26))/(F26-D26)^2)*((D32-0.5)/(D32*(1-D32))+LN(D32/(1-D32))))^(-1)*EXP(-(LN(F26-D26)+(1/2)*(LN((1-E25)/E25))^-1*LN((D27-D26)/(E26-D26))*LN(D32/(1-D32))+((1-2*E25)*(LN((1-E25)/E25)))^-1*LN(((D27-D26)*(E26-D26))/(F26-D26)^2)*(D32-0.5)*LN(D32/(1-D32)))),IF(F25="su",(-(1/2)*(LN((1-E25)/E25))^-1*LN((E27-D27)/(E27-E26))/(D32*(1-D32))-((1-2*E25)*(LN((1-E25)/E25)))^-1*LN(((E27-D27)*(E27-E26))/(E27-F26)^2)*((D32-0.5)/(D32*(1-D32))+LN(D32/(1-D32))))^(-1)*EXP((-LN(E27-F26)-(1/2)*(LN((1-E25)/E25))^-1*LN((E27-D27)/(E27-E26))*LN(D32/(1-D32))-((1-2*E25)*(LN((1-E25)/E25)))^-1*LN(((E27-D27)*(E27-E26))/(E27-F26)^2)*(D32-0.5)*LN(D32/(1-D32)))),IF(F25="b",((1/2)*(LN((1-E25)/E25))^-1*LN(((D27-D26)/(E27-D27))/((E26-D26)/(E27-E26)))/(D32*(1-D32))+((1-2*E25)*(LN((1-E25)/E25)))^-1*LN((((D27-D26)/(E27-D27))*((E26-D26)/(E27-E26)))/((F26-D26)/(E27-F26))^2)*((D32-0.5)/(D32*(1-D32))+LN(D32/(1-D32))))^(-1)*(1+EXP(LN((F26-D26)/(E27-F26))+(1/2)*(LN((1-E25)/E25))^-1*LN(((D27-D26)/(E27-D27))/((E26-D26)/(E27-E26)))*LN(D32/(1-D32))+((1-2*E25)*(LN((1-E25)/E25)))^-1*LN((((D27-D26)/(E27-D27))*((E26-D26)/(E27-E26)))/((F26-D26)/(E27-F26))^2)*(D32-0.5)*LN(D32/(1-D32))))^2/((E27-D26)*EXP(LN((F26-D26)/(E27-F26))+(1/2)*(LN((1-E25)/E25))^-1*LN(((D27-D26)/(E27-D27))/((E26-D26)/(E27-E26)))*LN(D32/(1-D32))+((1-2*E25)*(LN((1-E25)/E25)))^-1*LN((((D27-D26)/(E27-D27))*((E26-D26)/(E27-E26)))/((F26-D26)/(E27-F26))^2)*(D32-0.5)*LN(D32/(1-D32)))),NA()))))))</f>
        <v>#N/A</v>
      </c>
      <c r="L32" s="8"/>
      <c r="M32" s="25" t="s">
        <v>35</v>
      </c>
      <c r="N32" s="10">
        <f>(1/2)*(1-1.66711*(1/2-N31))</f>
        <v>0.16657799999999995</v>
      </c>
      <c r="O32" s="10">
        <f>(1/2)*(1-1.66711*(1/2-O31))</f>
        <v>0.16657799999999995</v>
      </c>
      <c r="P32" s="10">
        <f>(1/2)*(1-1.66711*(1/2-P31))</f>
        <v>0.16657799999999995</v>
      </c>
      <c r="Q32" s="10">
        <f>(1/2)*(1-1.66711*(1/2-Q18))</f>
        <v>0.16657799999999995</v>
      </c>
    </row>
    <row r="33" spans="4:17" x14ac:dyDescent="0.35">
      <c r="D33" s="47">
        <v>0.5</v>
      </c>
      <c r="E33" s="48">
        <f>IF(E30&lt;&gt;1,NA(),F26)</f>
        <v>35</v>
      </c>
      <c r="F33" s="49" t="e">
        <f>IF(F30&lt;&gt;1,NA(),IF(F27&lt;&gt;"",NA(),IF(F25="u",((1/2)*(LN((1-E25)/E25))^-1*(D27-E26)/(D33*(1-D33))+((1-2*E25)*(LN((1-E25)/E25)))^-1*(1-2*(F26-E26)/(D27-E26))*(D27-E26)*((D33-0.5)/(D33*(1-D33))+LN(D33/(1-D33))))^(-1),IF(F25="sl",((1/2)*(LN((1-E25)/E25))^-1*LN((D27-D26)/(E26-D26))/(D33*(1-D33))+((1-2*E25)*(LN((1-E25)/E25)))^-1*LN(((D27-D26)*(E26-D26))/(F26-D26)^2)*((D33-0.5)/(D33*(1-D33))+LN(D33/(1-D33))))^(-1)*EXP(-(LN(F26-D26)+(1/2)*(LN((1-E25)/E25))^-1*LN((D27-D26)/(E26-D26))*LN(D33/(1-D33))+((1-2*E25)*(LN((1-E25)/E25)))^-1*LN(((D27-D26)*(E26-D26))/(F26-D26)^2)*(D33-0.5)*LN(D33/(1-D33)))),IF(F25="su",(-(1/2)*(LN((1-E25)/E25))^-1*LN((E27-D27)/(E27-E26))/(D33*(1-D33))-((1-2*E25)*(LN((1-E25)/E25)))^-1*LN(((E27-D27)*(E27-E26))/(E27-F26)^2)*((D33-0.5)/(D33*(1-D33))+LN(D33/(1-D33))))^(-1)*EXP((-LN(E27-F26)-(1/2)*(LN((1-E25)/E25))^-1*LN((E27-D27)/(E27-E26))*LN(D33/(1-D33))-((1-2*E25)*(LN((1-E25)/E25)))^-1*LN(((E27-D27)*(E27-E26))/(E27-F26)^2)*(D33-0.5)*LN(D33/(1-D33)))),IF(F25="b",((1/2)*(LN((1-E25)/E25))^-1*LN(((D27-D26)/(E27-D27))/((E26-D26)/(E27-E26)))/(D33*(1-D33))+((1-2*E25)*(LN((1-E25)/E25)))^-1*LN((((D27-D26)/(E27-D27))*((E26-D26)/(E27-E26)))/((F26-D26)/(E27-F26))^2)*((D33-0.5)/(D33*(1-D33))+LN(D33/(1-D33))))^(-1)*(1+EXP(LN((F26-D26)/(E27-F26))+(1/2)*(LN((1-E25)/E25))^-1*LN(((D27-D26)/(E27-D27))/((E26-D26)/(E27-E26)))*LN(D33/(1-D33))+((1-2*E25)*(LN((1-E25)/E25)))^-1*LN((((D27-D26)/(E27-D27))*((E26-D26)/(E27-E26)))/((F26-D26)/(E27-F26))^2)*(D33-0.5)*LN(D33/(1-D33))))^2/((E27-D26)*EXP(LN((F26-D26)/(E27-F26))+(1/2)*(LN((1-E25)/E25))^-1*LN(((D27-D26)/(E27-D27))/((E26-D26)/(E27-E26)))*LN(D33/(1-D33))+((1-2*E25)*(LN((1-E25)/E25)))^-1*LN((((D27-D26)/(E27-D27))*((E26-D26)/(E27-E26)))/((F26-D26)/(E27-F26))^2)*(D33-0.5)*LN(D33/(1-D33)))),NA()))))))</f>
        <v>#N/A</v>
      </c>
      <c r="L33" s="8"/>
      <c r="M33" s="25" t="s">
        <v>36</v>
      </c>
      <c r="N33" s="10">
        <f>IF(N19="u",(N22-N21)/(N23-N21),"")</f>
        <v>0.375</v>
      </c>
      <c r="O33" s="10" t="str">
        <f>IF(O19="u",(O22-O21)/(O23-O21),"")</f>
        <v/>
      </c>
      <c r="P33" s="10" t="str">
        <f>IF(P19="u",(P22-P21)/(P23-P21),"")</f>
        <v/>
      </c>
      <c r="Q33" s="10"/>
    </row>
    <row r="34" spans="4:17" x14ac:dyDescent="0.35">
      <c r="D34" s="47">
        <f>1-E25</f>
        <v>0.9</v>
      </c>
      <c r="E34" s="48">
        <f>IF(E30&lt;&gt;1,NA(),D27)</f>
        <v>60</v>
      </c>
      <c r="F34" s="49" t="e">
        <f>IF(F30&lt;&gt;1,NA(),IF(F27&lt;&gt;"",NA(),IF(F25="u",((1/2)*(LN((1-E25)/E25))^-1*(D27-E26)/(D34*(1-D34))+((1-2*E25)*(LN((1-E25)/E25)))^-1*(1-2*(F26-E26)/(D27-E26))*(D27-E26)*((D34-0.5)/(D34*(1-D34))+LN(D34/(1-D34))))^(-1),IF(F25="sl",((1/2)*(LN((1-E25)/E25))^-1*LN((D27-D26)/(E26-D26))/(D34*(1-D34))+((1-2*E25)*(LN((1-E25)/E25)))^-1*LN(((D27-D26)*(E26-D26))/(F26-D26)^2)*((D34-0.5)/(D34*(1-D34))+LN(D34/(1-D34))))^(-1)*EXP(-(LN(F26-D26)+(1/2)*(LN((1-E25)/E25))^-1*LN((D27-D26)/(E26-D26))*LN(D34/(1-D34))+((1-2*E25)*(LN((1-E25)/E25)))^-1*LN(((D27-D26)*(E26-D26))/(F26-D26)^2)*(D34-0.5)*LN(D34/(1-D34)))),IF(F25="su",(-(1/2)*(LN((1-E25)/E25))^-1*LN((E27-D27)/(E27-E26))/(D34*(1-D34))-((1-2*E25)*(LN((1-E25)/E25)))^-1*LN(((E27-D27)*(E27-E26))/(E27-F26)^2)*((D34-0.5)/(D34*(1-D34))+LN(D34/(1-D34))))^(-1)*EXP((-LN(E27-F26)-(1/2)*(LN((1-E25)/E25))^-1*LN((E27-D27)/(E27-E26))*LN(D34/(1-D34))-((1-2*E25)*(LN((1-E25)/E25)))^-1*LN(((E27-D27)*(E27-E26))/(E27-F26)^2)*(D34-0.5)*LN(D34/(1-D34)))),IF(F25="b",((1/2)*(LN((1-E25)/E25))^-1*LN(((D27-D26)/(E27-D27))/((E26-D26)/(E27-E26)))/(D34*(1-D34))+((1-2*E25)*(LN((1-E25)/E25)))^-1*LN((((D27-D26)/(E27-D27))*((E26-D26)/(E27-E26)))/((F26-D26)/(E27-F26))^2)*((D34-0.5)/(D34*(1-D34))+LN(D34/(1-D34))))^(-1)*(1+EXP(LN((F26-D26)/(E27-F26))+(1/2)*(LN((1-E25)/E25))^-1*LN(((D27-D26)/(E27-D27))/((E26-D26)/(E27-E26)))*LN(D34/(1-D34))+((1-2*E25)*(LN((1-E25)/E25)))^-1*LN((((D27-D26)/(E27-D27))*((E26-D26)/(E27-E26)))/((F26-D26)/(E27-F26))^2)*(D34-0.5)*LN(D34/(1-D34))))^2/((E27-D26)*EXP(LN((F26-D26)/(E27-F26))+(1/2)*(LN((1-E25)/E25))^-1*LN(((D27-D26)/(E27-D27))/((E26-D26)/(E27-E26)))*LN(D34/(1-D34))+((1-2*E25)*(LN((1-E25)/E25)))^-1*LN((((D27-D26)/(E27-D27))*((E26-D26)/(E27-E26)))/((F26-D26)/(E27-F26))^2)*(D34-0.5)*LN(D34/(1-D34)))),NA()))))))</f>
        <v>#N/A</v>
      </c>
      <c r="H34" s="51" t="s">
        <v>37</v>
      </c>
      <c r="I34" s="52"/>
      <c r="J34" s="52"/>
      <c r="K34" s="53"/>
      <c r="L34" s="3" t="s">
        <v>38</v>
      </c>
      <c r="M34" s="25" t="s">
        <v>39</v>
      </c>
      <c r="N34" s="10">
        <f>IF(N19&lt;&gt;"u","",N28 + N30/2)</f>
        <v>37.844497583208863</v>
      </c>
      <c r="O34" s="10" t="str">
        <f>IF(O19&lt;&gt;"u","",O28 + O30/2)</f>
        <v/>
      </c>
      <c r="P34" s="10" t="str">
        <f>IF(P19&lt;&gt;"u","",P28 + P30/2)</f>
        <v/>
      </c>
      <c r="Q34" s="10">
        <f>SUM( N34:P34 )</f>
        <v>37.844497583208863</v>
      </c>
    </row>
    <row r="35" spans="4:17" x14ac:dyDescent="0.35">
      <c r="D35" s="54" t="e">
        <f>IF(AND(OR(F25="su",F25="b"),ISNUMBER(E27)),1,NA())</f>
        <v>#N/A</v>
      </c>
      <c r="E35" s="55" t="e">
        <f>IF(E30&lt;&gt;1,NA(),IF(AND(OR(F25="su",F25="b"),ISNUMBER(E27)),E27,NA()))</f>
        <v>#N/A</v>
      </c>
      <c r="F35" s="56" t="e">
        <f>IF(F30&lt;&gt;1,NA(),IF(OR(F25="su",F25="b"),0,NA()))</f>
        <v>#N/A</v>
      </c>
      <c r="H35" s="57"/>
      <c r="I35" s="58">
        <f>( IF( ISNUMBER( E143 ), E143, E142 ) - IF( ISNUMBER( E37 ), E37, E38 )) / 99</f>
        <v>1.2700604299430853</v>
      </c>
      <c r="J35" s="59" t="s">
        <v>40</v>
      </c>
      <c r="K35" s="60"/>
      <c r="L35" s="8"/>
      <c r="M35" s="25" t="s">
        <v>41</v>
      </c>
      <c r="N35" s="10">
        <f>IF(N19&lt;&gt;"u","",(PI()^2*N29^2)/3 + N30^2/12 + (PI()^2*N30^2)/36)</f>
        <v>284.1472498028931</v>
      </c>
      <c r="O35" s="10" t="str">
        <f>IF(O19&lt;&gt;"u","",(PI()^2*O29^2)/3 + O30^2/12 + (PI()^2*O30^2)/36)</f>
        <v/>
      </c>
      <c r="P35" s="10" t="str">
        <f>IF(P19&lt;&gt;"u","",(PI()^2*P29^2)/3 + P30^2/12 + (PI()^2*P30^2)/36)</f>
        <v/>
      </c>
      <c r="Q35" s="10">
        <f>SUM( N35:P35 )</f>
        <v>284.1472498028931</v>
      </c>
    </row>
    <row r="36" spans="4:17" x14ac:dyDescent="0.35">
      <c r="D36" s="13" t="s">
        <v>42</v>
      </c>
      <c r="E36" s="14"/>
      <c r="F36" s="15"/>
      <c r="H36" s="61" t="s">
        <v>43</v>
      </c>
      <c r="I36" s="62" t="s">
        <v>44</v>
      </c>
      <c r="J36" s="62" t="s">
        <v>45</v>
      </c>
      <c r="K36" s="63" t="s">
        <v>46</v>
      </c>
      <c r="L36" s="64"/>
      <c r="M36" s="25" t="s">
        <v>47</v>
      </c>
      <c r="N36" s="10">
        <f>IF(N19&lt;&gt;"u","",PI()^2*N29^2*N30 + (PI()^2*N30^3)/24)</f>
        <v>4727.789071164616</v>
      </c>
      <c r="O36" s="10" t="str">
        <f>IF(O19&lt;&gt;"u","",PI()^2*O29^2*O30 + (PI()^2*O30^3)/24)</f>
        <v/>
      </c>
      <c r="P36" s="10" t="str">
        <f>IF(P19&lt;&gt;"u","",PI()^2*P29^2*P30 + (PI()^2*P30^3)/24)</f>
        <v/>
      </c>
      <c r="Q36" s="10">
        <f>SUM( N36:P36 )</f>
        <v>4727.789071164616</v>
      </c>
    </row>
    <row r="37" spans="4:17" x14ac:dyDescent="0.35">
      <c r="D37" s="65" t="e">
        <f>IF(AND(OR(F25="sl",F25="b"),F27=""),0,NA())</f>
        <v>#N/A</v>
      </c>
      <c r="E37" s="66" t="e">
        <f>IF(AND(OR(F25="sl",F25="b"),F27=""),D26,NA())</f>
        <v>#N/A</v>
      </c>
      <c r="F37" s="67" t="e">
        <f>IF(AND(OR(F25="sl",F25="b"),F27=""),0,NA())</f>
        <v>#N/A</v>
      </c>
      <c r="H37" s="68">
        <v>1</v>
      </c>
      <c r="I37" s="69">
        <f>IF( ISNUMBER( E37 ), E37, E38 )</f>
        <v>-8.2610365010519864</v>
      </c>
      <c r="J37" s="70">
        <v>1</v>
      </c>
      <c r="K37" s="71">
        <f>IF( ISNUMBER( E37 ), F37, F38 )</f>
        <v>1.6049919004539339E-4</v>
      </c>
    </row>
    <row r="38" spans="4:17" x14ac:dyDescent="0.35">
      <c r="D38" s="47">
        <f>IF(F27&lt;&gt;"",NA(),0.001)</f>
        <v>1E-3</v>
      </c>
      <c r="E38" s="48">
        <f>IF(F27&lt;&gt;"",NA(),IF(F25="u",F26+(1/2)*(LN((1-E25)/E25))^-1*(D27-E26)*LN(D38/(1-D38))+((1-2*E25)*(LN((1-E25)/E25)))^-1*(1-2*(F26-E26)/(D27-E26))*(D27-E26)*(D38-0.5)*LN(D38/(1-D38)),IF(F25="sl",D26+EXP(LN(F26-D26)+(1/2)*(LN((1-E25)/E25))^-1*LN((D27-D26)/(E26-D26))*LN(D38/(1-D38))+((1-2*E25)*(LN((1-E25)/E25)))^-1*LN(((D27-D26)*(E26-D26))/(F26-D26)^2)*(D38-0.5)*LN(D38/(1-D38))),IF(F25="su",E27-EXP(-(-LN(E27-F26)-(1/2)*(LN((1-E25)/E25))^-1*LN((E27-D27)/(E27-E26))*LN(D38/(1-D38))-((1-2*E25)*(LN((1-E25)/E25)))^-1*LN(((E27-D27)*(E27-E26))/(E27-F26)^2)*(D38-0.5)*LN(D38/(1-D38)))),IF(F25="b",(D26+E27*EXP(LN((F26-D26)/(E27-F26))+(1/2)*(LN((1-E25)/E25))^-1*LN(((D27-D26)/(E27-D27))/((E26-D26)/(E27-E26)))*LN(D38/(1-D38))+((1-2*E25)*(LN((1-E25)/E25)))^-1*LN((((D27-D26)/(E27-D27))*((E26-D26)/(E27-E26)))/((F26-D26)/(E27-F26))^2)*(D38-0.5)*LN(D38/(1-D38))))/(1+EXP(LN((F26-D26)/(E27-F26))+(1/2)*(LN((1-E25)/E25))^-1*LN(((D27-D26)/(E27-D27))/((E26-D26)/(E27-E26)))*LN(D38/(1-D38))+((1-2*E25)*(LN((1-E25)/E25)))^-1*LN((((D27-D26)/(E27-D27))*((E26-D26)/(E27-E26)))/((F26-D26)/(E27-F26))^2)*(D38-0.5)*LN(D38/(1-D38)))),NA())))))</f>
        <v>-8.2610365010519864</v>
      </c>
      <c r="F38" s="49">
        <f>IF(F27&lt;&gt;"",NA(),IF(F25="u",((1/2)*(LN((1-E25)/E25))^-1*(D27-E26)/(D38*(1-D38))+((1-2*E25)*(LN((1-E25)/E25)))^-1*(1-2*(F26-E26)/(D27-E26))*(D27-E26)*((D38-0.5)/(D38*(1-D38))+LN(D38/(1-D38))))^(-1),IF(F25="sl",((1/2)*(LN((1-E25)/E25))^-1*LN((D27-D26)/(E26-D26))/(D38*(1-D38))+((1-2*E25)*(LN((1-E25)/E25)))^-1*LN(((D27-D26)*(E26-D26))/(F26-D26)^2)*((D38-0.5)/(D38*(1-D38))+LN(D38/(1-D38))))^(-1)*EXP(-(LN(F26-D26)+(1/2)*(LN((1-E25)/E25))^-1*LN((D27-D26)/(E26-D26))*LN(D38/(1-D38))+((1-2*E25)*(LN((1-E25)/E25)))^-1*LN(((D27-D26)*(E26-D26))/(F26-D26)^2)*(D38-0.5)*LN(D38/(1-D38)))),IF(F25="su",(-(1/2)*(LN((1-E25)/E25))^-1*LN((E27-D27)/(E27-E26))/(D38*(1-D38))-((1-2*E25)*(LN((1-E25)/E25)))^-1*LN(((E27-D27)*(E27-E26))/(E27-F26)^2)*((D38-0.5)/(D38*(1-D38))+LN(D38/(1-D38))))^(-1)*EXP((-LN(E27-F26)-(1/2)*(LN((1-E25)/E25))^-1*LN((E27-D27)/(E27-E26))*LN(D38/(1-D38))-((1-2*E25)*(LN((1-E25)/E25)))^-1*LN(((E27-D27)*(E27-E26))/(E27-F26)^2)*(D38-0.5)*LN(D38/(1-D38)))),IF(F25="b",((1/2)*(LN((1-E25)/E25))^-1*LN(((D27-D26)/(E27-D27))/((E26-D26)/(E27-E26)))/(D38*(1-D38))+((1-2*E25)*(LN((1-E25)/E25)))^-1*LN((((D27-D26)/(E27-D27))*((E26-D26)/(E27-E26)))/((F26-D26)/(E27-F26))^2)*((D38-0.5)/(D38*(1-D38))+LN(D38/(1-D38))))^(-1)*(1+EXP(LN((F26-D26)/(E27-F26))+(1/2)*(LN((1-E25)/E25))^-1*LN(((D27-D26)/(E27-D27))/((E26-D26)/(E27-E26)))*LN(D38/(1-D38))+((1-2*E25)*(LN((1-E25)/E25)))^-1*LN((((D27-D26)/(E27-D27))*((E26-D26)/(E27-E26)))/((F26-D26)/(E27-F26))^2)*(D38-0.5)*LN(D38/(1-D38))))^2/((E27-D26)*EXP(LN((F26-D26)/(E27-F26))+(1/2)*(LN((1-E25)/E25))^-1*LN(((D27-D26)/(E27-D27))/((E26-D26)/(E27-E26)))*LN(D38/(1-D38))+((1-2*E25)*(LN((1-E25)/E25)))^-1*LN((((D27-D26)/(E27-D27))*((E26-D26)/(E27-E26)))/((F26-D26)/(E27-F26))^2)*(D38-0.5)*LN(D38/(1-D38)))),NA())))))</f>
        <v>1.6049919004539339E-4</v>
      </c>
      <c r="H38" s="72">
        <v>2</v>
      </c>
      <c r="I38" s="69">
        <f>I37+I$35</f>
        <v>-6.9909760711089008</v>
      </c>
      <c r="J38" s="70">
        <f>LOOKUP( I38, E$37:E$143, H$37:H$143 )</f>
        <v>2</v>
      </c>
      <c r="K38" s="71">
        <f>INDEX( F$37:F$143, J38, 1 ) + (( I38 - INDEX( E$37:E$143, J38, 1 )) / ( INDEX( E$37:E$143, J38+1, 1 ) - INDEX( E$37:E$143, J38, 1 ))) * ( INDEX( F$37:F$143, J38 + 1, 1 ) - INDEX( F$37:F$143, J38, 1 ))</f>
        <v>2.2072739500159083E-4</v>
      </c>
    </row>
    <row r="39" spans="4:17" x14ac:dyDescent="0.35">
      <c r="D39" s="47">
        <f>IF(F27&lt;&gt;"",NA(),0.003)</f>
        <v>3.0000000000000001E-3</v>
      </c>
      <c r="E39" s="48">
        <f>IF(F27&lt;&gt;"",NA(),IF(F25="u",F26+(1/2)*(LN((1-E25)/E25))^-1*(D27-E26)*LN(D39/(1-D39))+((1-2*E25)*(LN((1-E25)/E25)))^-1*(1-2*(F26-E26)/(D27-E26))*(D27-E26)*(D39-0.5)*LN(D39/(1-D39)),IF(F25="sl",D26+EXP(LN(F26-D26)+(1/2)*(LN((1-E25)/E25))^-1*LN((D27-D26)/(E26-D26))*LN(D39/(1-D39))+((1-2*E25)*(LN((1-E25)/E25)))^-1*LN(((D27-D26)*(E26-D26))/(F26-D26)^2)*(D39-0.5)*LN(D39/(1-D39))),IF(F25="su",E27-EXP(-(-LN(E27-F26)-(1/2)*(LN((1-E25)/E25))^-1*LN((E27-D27)/(E27-E26))*LN(D39/(1-D39))-((1-2*E25)*(LN((1-E25)/E25)))^-1*LN(((E27-D27)*(E27-E26))/(E27-F26)^2)*(D39-0.5)*LN(D39/(1-D39)))),IF(F25="b",(D26+E27*EXP(LN((F26-D26)/(E27-F26))+(1/2)*(LN((1-E25)/E25))^-1*LN(((D27-D26)/(E27-D27))/((E26-D26)/(E27-E26)))*LN(D39/(1-D39))+((1-2*E25)*(LN((1-E25)/E25)))^-1*LN((((D27-D26)/(E27-D27))*((E26-D26)/(E27-E26)))/((F26-D26)/(E27-F26))^2)*(D39-0.5)*LN(D39/(1-D39))))/(1+EXP(LN((F26-D26)/(E27-F26))+(1/2)*(LN((1-E25)/E25))^-1*LN(((D27-D26)/(E27-D27))/((E26-D26)/(E27-E26)))*LN(D39/(1-D39))+((1-2*E25)*(LN((1-E25)/E25)))^-1*LN((((D27-D26)/(E27-D27))*((E26-D26)/(E27-E26)))/((F26-D26)/(E27-F26))^2)*(D39-0.5)*LN(D39/(1-D39)))),NA())))))</f>
        <v>-1.4332964124621093</v>
      </c>
      <c r="F39" s="49">
        <f>IF(F27&lt;&gt;"",NA(),IF(F25="u",((1/2)*(LN((1-E25)/E25))^-1*(D27-E26)/(D39*(1-D39))+((1-2*E25)*(LN((1-E25)/E25)))^-1*(1-2*(F26-E26)/(D27-E26))*(D27-E26)*((D39-0.5)/(D39*(1-D39))+LN(D39/(1-D39))))^(-1),IF(F25="sl",((1/2)*(LN((1-E25)/E25))^-1*LN((D27-D26)/(E26-D26))/(D39*(1-D39))+((1-2*E25)*(LN((1-E25)/E25)))^-1*LN(((D27-D26)*(E26-D26))/(F26-D26)^2)*((D39-0.5)/(D39*(1-D39))+LN(D39/(1-D39))))^(-1)*EXP(-(LN(F26-D26)+(1/2)*(LN((1-E25)/E25))^-1*LN((D27-D26)/(E26-D26))*LN(D39/(1-D39))+((1-2*E25)*(LN((1-E25)/E25)))^-1*LN(((D27-D26)*(E26-D26))/(F26-D26)^2)*(D39-0.5)*LN(D39/(1-D39)))),IF(F25="su",(-(1/2)*(LN((1-E25)/E25))^-1*LN((E27-D27)/(E27-E26))/(D39*(1-D39))-((1-2*E25)*(LN((1-E25)/E25)))^-1*LN(((E27-D27)*(E27-E26))/(E27-F26)^2)*((D39-0.5)/(D39*(1-D39))+LN(D39/(1-D39))))^(-1)*EXP((-LN(E27-F26)-(1/2)*(LN((1-E25)/E25))^-1*LN((E27-D27)/(E27-E26))*LN(D39/(1-D39))-((1-2*E25)*(LN((1-E25)/E25)))^-1*LN(((E27-D27)*(E27-E26))/(E27-F26)^2)*(D39-0.5)*LN(D39/(1-D39)))),IF(F25="b",((1/2)*(LN((1-E25)/E25))^-1*LN(((D27-D26)/(E27-D27))/((E26-D26)/(E27-E26)))/(D39*(1-D39))+((1-2*E25)*(LN((1-E25)/E25)))^-1*LN((((D27-D26)/(E27-D27))*((E26-D26)/(E27-E26)))/((F26-D26)/(E27-F26))^2)*((D39-0.5)/(D39*(1-D39))+LN(D39/(1-D39))))^(-1)*(1+EXP(LN((F26-D26)/(E27-F26))+(1/2)*(LN((1-E25)/E25))^-1*LN(((D27-D26)/(E27-D27))/((E26-D26)/(E27-E26)))*LN(D39/(1-D39))+((1-2*E25)*(LN((1-E25)/E25)))^-1*LN((((D27-D26)/(E27-D27))*((E26-D26)/(E27-E26)))/((F26-D26)/(E27-F26))^2)*(D39-0.5)*LN(D39/(1-D39))))^2/((E27-D26)*EXP(LN((F26-D26)/(E27-F26))+(1/2)*(LN((1-E25)/E25))^-1*LN(((D27-D26)/(E27-D27))/((E26-D26)/(E27-E26)))*LN(D39/(1-D39))+((1-2*E25)*(LN((1-E25)/E25)))^-1*LN((((D27-D26)/(E27-D27))*((E26-D26)/(E27-E26)))/((F26-D26)/(E27-F26))^2)*(D39-0.5)*LN(D39/(1-D39)))),NA())))))</f>
        <v>4.8428105093028433E-4</v>
      </c>
      <c r="H39" s="72">
        <v>3</v>
      </c>
      <c r="I39" s="69">
        <f t="shared" ref="I39:I102" si="0">I38+I$35</f>
        <v>-5.7209156411658153</v>
      </c>
      <c r="J39" s="70">
        <f t="shared" ref="J39:J102" si="1">LOOKUP( I39, E$37:E$143, H$37:H$143 )</f>
        <v>2</v>
      </c>
      <c r="K39" s="71">
        <f t="shared" ref="K39:K102" si="2">INDEX( F$37:F$143, J39, 1 ) + (( I39 - INDEX( E$37:E$143, J39, 1 )) / ( INDEX( E$37:E$143, J39+1, 1 ) - INDEX( E$37:E$143, J39, 1 ))) * ( INDEX( F$37:F$143, J39 + 1, 1 ) - INDEX( F$37:F$143, J39, 1 ))</f>
        <v>2.8095559995778831E-4</v>
      </c>
    </row>
    <row r="40" spans="4:17" x14ac:dyDescent="0.35">
      <c r="D40" s="47">
        <f>IF(F27&lt;&gt;"",NA(),0.006)</f>
        <v>6.0000000000000001E-3</v>
      </c>
      <c r="E40" s="48">
        <f>IF(F27&lt;&gt;"",NA(),IF(F25="u",F26+(1/2)*(LN((1-E25)/E25))^-1*(D27-E26)*LN(D40/(1-D40))+((1-2*E25)*(LN((1-E25)/E25)))^-1*(1-2*(F26-E26)/(D27-E26))*(D27-E26)*(D40-0.5)*LN(D40/(1-D40)),IF(F25="sl",D26+EXP(LN(F26-D26)+(1/2)*(LN((1-E25)/E25))^-1*LN((D27-D26)/(E26-D26))*LN(D40/(1-D40))+((1-2*E25)*(LN((1-E25)/E25)))^-1*LN(((D27-D26)*(E26-D26))/(F26-D26)^2)*(D40-0.5)*LN(D40/(1-D40))),IF(F25="su",E27-EXP(-(-LN(E27-F26)-(1/2)*(LN((1-E25)/E25))^-1*LN((E27-D27)/(E27-E26))*LN(D40/(1-D40))-((1-2*E25)*(LN((1-E25)/E25)))^-1*LN(((E27-D27)*(E27-E26))/(E27-F26)^2)*(D40-0.5)*LN(D40/(1-D40)))),IF(F25="b",(D26+E27*EXP(LN((F26-D26)/(E27-F26))+(1/2)*(LN((1-E25)/E25))^-1*LN(((D27-D26)/(E27-D27))/((E26-D26)/(E27-E26)))*LN(D40/(1-D40))+((1-2*E25)*(LN((1-E25)/E25)))^-1*LN((((D27-D26)/(E27-D27))*((E26-D26)/(E27-E26)))/((F26-D26)/(E27-F26))^2)*(D40-0.5)*LN(D40/(1-D40))))/(1+EXP(LN((F26-D26)/(E27-F26))+(1/2)*(LN((1-E25)/E25))^-1*LN(((D27-D26)/(E27-D27))/((E26-D26)/(E27-E26)))*LN(D40/(1-D40))+((1-2*E25)*(LN((1-E25)/E25)))^-1*LN((((D27-D26)/(E27-D27))*((E26-D26)/(E27-E26)))/((F26-D26)/(E27-F26))^2)*(D40-0.5)*LN(D40/(1-D40)))),NA())))))</f>
        <v>2.84787365450123</v>
      </c>
      <c r="F40" s="49">
        <f>IF(F27&lt;&gt;"",NA(),IF(F25="u",((1/2)*(LN((1-E25)/E25))^-1*(D27-E26)/(D40*(1-D40))+((1-2*E25)*(LN((1-E25)/E25)))^-1*(1-2*(F26-E26)/(D27-E26))*(D27-E26)*((D40-0.5)/(D40*(1-D40))+LN(D40/(1-D40))))^(-1),IF(F25="sl",((1/2)*(LN((1-E25)/E25))^-1*LN((D27-D26)/(E26-D26))/(D40*(1-D40))+((1-2*E25)*(LN((1-E25)/E25)))^-1*LN(((D27-D26)*(E26-D26))/(F26-D26)^2)*((D40-0.5)/(D40*(1-D40))+LN(D40/(1-D40))))^(-1)*EXP(-(LN(F26-D26)+(1/2)*(LN((1-E25)/E25))^-1*LN((D27-D26)/(E26-D26))*LN(D40/(1-D40))+((1-2*E25)*(LN((1-E25)/E25)))^-1*LN(((D27-D26)*(E26-D26))/(F26-D26)^2)*(D40-0.5)*LN(D40/(1-D40)))),IF(F25="su",(-(1/2)*(LN((1-E25)/E25))^-1*LN((E27-D27)/(E27-E26))/(D40*(1-D40))-((1-2*E25)*(LN((1-E25)/E25)))^-1*LN(((E27-D27)*(E27-E26))/(E27-F26)^2)*((D40-0.5)/(D40*(1-D40))+LN(D40/(1-D40))))^(-1)*EXP((-LN(E27-F26)-(1/2)*(LN((1-E25)/E25))^-1*LN((E27-D27)/(E27-E26))*LN(D40/(1-D40))-((1-2*E25)*(LN((1-E25)/E25)))^-1*LN(((E27-D27)*(E27-E26))/(E27-F26)^2)*(D40-0.5)*LN(D40/(1-D40)))),IF(F25="b",((1/2)*(LN((1-E25)/E25))^-1*LN(((D27-D26)/(E27-D27))/((E26-D26)/(E27-E26)))/(D40*(1-D40))+((1-2*E25)*(LN((1-E25)/E25)))^-1*LN((((D27-D26)/(E27-D27))*((E26-D26)/(E27-E26)))/((F26-D26)/(E27-F26))^2)*((D40-0.5)/(D40*(1-D40))+LN(D40/(1-D40))))^(-1)*(1+EXP(LN((F26-D26)/(E27-F26))+(1/2)*(LN((1-E25)/E25))^-1*LN(((D27-D26)/(E27-D27))/((E26-D26)/(E27-E26)))*LN(D40/(1-D40))+((1-2*E25)*(LN((1-E25)/E25)))^-1*LN((((D27-D26)/(E27-D27))*((E26-D26)/(E27-E26)))/((F26-D26)/(E27-F26))^2)*(D40-0.5)*LN(D40/(1-D40))))^2/((E27-D26)*EXP(LN((F26-D26)/(E27-F26))+(1/2)*(LN((1-E25)/E25))^-1*LN(((D27-D26)/(E27-D27))/((E26-D26)/(E27-E26)))*LN(D40/(1-D40))+((1-2*E25)*(LN((1-E25)/E25)))^-1*LN((((D27-D26)/(E27-D27))*((E26-D26)/(E27-E26)))/((F26-D26)/(E27-F26))^2)*(D40-0.5)*LN(D40/(1-D40)))),NA())))))</f>
        <v>9.7472459927401003E-4</v>
      </c>
      <c r="H40" s="72">
        <v>4</v>
      </c>
      <c r="I40" s="69">
        <f t="shared" si="0"/>
        <v>-4.4508552112227298</v>
      </c>
      <c r="J40" s="70">
        <f t="shared" si="1"/>
        <v>2</v>
      </c>
      <c r="K40" s="71">
        <f t="shared" si="2"/>
        <v>3.4118380491398573E-4</v>
      </c>
    </row>
    <row r="41" spans="4:17" x14ac:dyDescent="0.35">
      <c r="D41" s="47">
        <f>IF(F27&lt;&gt;"",NA(),(ROW()-ROW(D40))/100)</f>
        <v>0.01</v>
      </c>
      <c r="E41" s="48">
        <f>IF(F27&lt;&gt;"",NA(),IF(F25="u",F26+(1/2)*(LN((1-E25)/E25))^-1*(D27-E26)*LN(D41/(1-D41))+((1-2*E25)*(LN((1-E25)/E25)))^-1*(1-2*(F26-E26)/(D27-E26))*(D27-E26)*(D41-0.5)*LN(D41/(1-D41)),IF(F25="sl",D26+EXP(LN(F26-D26)+(1/2)*(LN((1-E25)/E25))^-1*LN((D27-D26)/(E26-D26))*LN(D41/(1-D41))+((1-2*E25)*(LN((1-E25)/E25)))^-1*LN(((D27-D26)*(E26-D26))/(F26-D26)^2)*(D41-0.5)*LN(D41/(1-D41))),IF(F25="su",E27-EXP(-(-LN(E27-F26)-(1/2)*(LN((1-E25)/E25))^-1*LN((E27-D27)/(E27-E26))*LN(D41/(1-D41))-((1-2*E25)*(LN((1-E25)/E25)))^-1*LN(((E27-D27)*(E27-E26))/(E27-F26)^2)*(D41-0.5)*LN(D41/(1-D41)))),IF(F25="b",(D26+E27*EXP(LN((F26-D26)/(E27-F26))+(1/2)*(LN((1-E25)/E25))^-1*LN(((D27-D26)/(E27-D27))/((E26-D26)/(E27-E26)))*LN(D41/(1-D41))+((1-2*E25)*(LN((1-E25)/E25)))^-1*LN((((D27-D26)/(E27-D27))*((E26-D26)/(E27-E26)))/((F26-D26)/(E27-F26))^2)*(D41-0.5)*LN(D41/(1-D41))))/(1+EXP(LN((F26-D26)/(E27-F26))+(1/2)*(LN((1-E25)/E25))^-1*LN(((D27-D26)/(E27-D27))/((E26-D26)/(E27-E26)))*LN(D41/(1-D41))+((1-2*E25)*(LN((1-E25)/E25)))^-1*LN((((D27-D26)/(E27-D27))*((E26-D26)/(E27-E26)))/((F26-D26)/(E27-F26))^2)*(D41-0.5)*LN(D41/(1-D41)))),NA())))))</f>
        <v>5.9828077756563012</v>
      </c>
      <c r="F41" s="49">
        <f>IF(F27&lt;&gt;"",NA(),IF(F25="u",((1/2)*(LN((1-E25)/E25))^-1*(D27-E26)/(D41*(1-D41))+((1-2*E25)*(LN((1-E25)/E25)))^-1*(1-2*(F26-E26)/(D27-E26))*(D27-E26)*((D41-0.5)/(D41*(1-D41))+LN(D41/(1-D41))))^(-1),IF(F25="sl",((1/2)*(LN((1-E25)/E25))^-1*LN((D27-D26)/(E26-D26))/(D41*(1-D41))+((1-2*E25)*(LN((1-E25)/E25)))^-1*LN(((D27-D26)*(E26-D26))/(F26-D26)^2)*((D41-0.5)/(D41*(1-D41))+LN(D41/(1-D41))))^(-1)*EXP(-(LN(F26-D26)+(1/2)*(LN((1-E25)/E25))^-1*LN((D27-D26)/(E26-D26))*LN(D41/(1-D41))+((1-2*E25)*(LN((1-E25)/E25)))^-1*LN(((D27-D26)*(E26-D26))/(F26-D26)^2)*(D41-0.5)*LN(D41/(1-D41)))),IF(F25="su",(-(1/2)*(LN((1-E25)/E25))^-1*LN((E27-D27)/(E27-E26))/(D41*(1-D41))-((1-2*E25)*(LN((1-E25)/E25)))^-1*LN(((E27-D27)*(E27-E26))/(E27-F26)^2)*((D41-0.5)/(D41*(1-D41))+LN(D41/(1-D41))))^(-1)*EXP((-LN(E27-F26)-(1/2)*(LN((1-E25)/E25))^-1*LN((E27-D27)/(E27-E26))*LN(D41/(1-D41))-((1-2*E25)*(LN((1-E25)/E25)))^-1*LN(((E27-D27)*(E27-E26))/(E27-F26)^2)*(D41-0.5)*LN(D41/(1-D41)))),IF(F25="b",((1/2)*(LN((1-E25)/E25))^-1*LN(((D27-D26)/(E27-D27))/((E26-D26)/(E27-E26)))/(D41*(1-D41))+((1-2*E25)*(LN((1-E25)/E25)))^-1*LN((((D27-D26)/(E27-D27))*((E26-D26)/(E27-E26)))/((F26-D26)/(E27-F26))^2)*((D41-0.5)/(D41*(1-D41))+LN(D41/(1-D41))))^(-1)*(1+EXP(LN((F26-D26)/(E27-F26))+(1/2)*(LN((1-E25)/E25))^-1*LN(((D27-D26)/(E27-D27))/((E26-D26)/(E27-E26)))*LN(D41/(1-D41))+((1-2*E25)*(LN((1-E25)/E25)))^-1*LN((((D27-D26)/(E27-D27))*((E26-D26)/(E27-E26)))/((F26-D26)/(E27-F26))^2)*(D41-0.5)*LN(D41/(1-D41))))^2/((E27-D26)*EXP(LN((F26-D26)/(E27-F26))+(1/2)*(LN((1-E25)/E25))^-1*LN(((D27-D26)/(E27-D27))/((E26-D26)/(E27-E26)))*LN(D41/(1-D41))+((1-2*E25)*(LN((1-E25)/E25)))^-1*LN((((D27-D26)/(E27-D27))*((E26-D26)/(E27-E26)))/((F26-D26)/(E27-F26))^2)*(D41-0.5)*LN(D41/(1-D41)))),NA())))))</f>
        <v>1.6347470876534262E-3</v>
      </c>
      <c r="H41" s="72">
        <v>5</v>
      </c>
      <c r="I41" s="69">
        <f t="shared" si="0"/>
        <v>-3.1807947812796442</v>
      </c>
      <c r="J41" s="70">
        <f t="shared" si="1"/>
        <v>2</v>
      </c>
      <c r="K41" s="71">
        <f t="shared" si="2"/>
        <v>4.014120098701832E-4</v>
      </c>
    </row>
    <row r="42" spans="4:17" x14ac:dyDescent="0.35">
      <c r="D42" s="47">
        <f>IF(F27&lt;&gt;"",NA(),(ROW()-ROW(D40))/100)</f>
        <v>0.02</v>
      </c>
      <c r="E42" s="48">
        <f>IF(F27&lt;&gt;"",NA(),IF(F25="u",F26+(1/2)*(LN((1-E25)/E25))^-1*(D27-E26)*LN(D42/(1-D42))+((1-2*E25)*(LN((1-E25)/E25)))^-1*(1-2*(F26-E26)/(D27-E26))*(D27-E26)*(D42-0.5)*LN(D42/(1-D42)),IF(F25="sl",D26+EXP(LN(F26-D26)+(1/2)*(LN((1-E25)/E25))^-1*LN((D27-D26)/(E26-D26))*LN(D42/(1-D42))+((1-2*E25)*(LN((1-E25)/E25)))^-1*LN(((D27-D26)*(E26-D26))/(F26-D26)^2)*(D42-0.5)*LN(D42/(1-D42))),IF(F25="su",E27-EXP(-(-LN(E27-F26)-(1/2)*(LN((1-E25)/E25))^-1*LN((E27-D27)/(E27-E26))*LN(D42/(1-D42))-((1-2*E25)*(LN((1-E25)/E25)))^-1*LN(((E27-D27)*(E27-E26))/(E27-F26)^2)*(D42-0.5)*LN(D42/(1-D42)))),IF(F25="b",(D26+E27*EXP(LN((F26-D26)/(E27-F26))+(1/2)*(LN((1-E25)/E25))^-1*LN(((D27-D26)/(E27-D27))/((E26-D26)/(E27-E26)))*LN(D42/(1-D42))+((1-2*E25)*(LN((1-E25)/E25)))^-1*LN((((D27-D26)/(E27-D27))*((E26-D26)/(E27-E26)))/((F26-D26)/(E27-F26))^2)*(D42-0.5)*LN(D42/(1-D42))))/(1+EXP(LN((F26-D26)/(E27-F26))+(1/2)*(LN((1-E25)/E25))^-1*LN(((D27-D26)/(E27-D27))/((E26-D26)/(E27-E26)))*LN(D42/(1-D42))+((1-2*E25)*(LN((1-E25)/E25)))^-1*LN((((D27-D26)/(E27-D27))*((E26-D26)/(E27-E26)))/((F26-D26)/(E27-F26))^2)*(D42-0.5)*LN(D42/(1-D42)))),NA())))))</f>
        <v>10.20258751174009</v>
      </c>
      <c r="F42" s="49">
        <f>IF(F27&lt;&gt;"",NA(),IF(F25="u",((1/2)*(LN((1-E25)/E25))^-1*(D27-E26)/(D42*(1-D42))+((1-2*E25)*(LN((1-E25)/E25)))^-1*(1-2*(F26-E26)/(D27-E26))*(D27-E26)*((D42-0.5)/(D42*(1-D42))+LN(D42/(1-D42))))^(-1),IF(F25="sl",((1/2)*(LN((1-E25)/E25))^-1*LN((D27-D26)/(E26-D26))/(D42*(1-D42))+((1-2*E25)*(LN((1-E25)/E25)))^-1*LN(((D27-D26)*(E26-D26))/(F26-D26)^2)*((D42-0.5)/(D42*(1-D42))+LN(D42/(1-D42))))^(-1)*EXP(-(LN(F26-D26)+(1/2)*(LN((1-E25)/E25))^-1*LN((D27-D26)/(E26-D26))*LN(D42/(1-D42))+((1-2*E25)*(LN((1-E25)/E25)))^-1*LN(((D27-D26)*(E26-D26))/(F26-D26)^2)*(D42-0.5)*LN(D42/(1-D42)))),IF(F25="su",(-(1/2)*(LN((1-E25)/E25))^-1*LN((E27-D27)/(E27-E26))/(D42*(1-D42))-((1-2*E25)*(LN((1-E25)/E25)))^-1*LN(((E27-D27)*(E27-E26))/(E27-F26)^2)*((D42-0.5)/(D42*(1-D42))+LN(D42/(1-D42))))^(-1)*EXP((-LN(E27-F26)-(1/2)*(LN((1-E25)/E25))^-1*LN((E27-D27)/(E27-E26))*LN(D42/(1-D42))-((1-2*E25)*(LN((1-E25)/E25)))^-1*LN(((E27-D27)*(E27-E26))/(E27-F26)^2)*(D42-0.5)*LN(D42/(1-D42)))),IF(F25="b",((1/2)*(LN((1-E25)/E25))^-1*LN(((D27-D26)/(E27-D27))/((E26-D26)/(E27-E26)))/(D42*(1-D42))+((1-2*E25)*(LN((1-E25)/E25)))^-1*LN((((D27-D26)/(E27-D27))*((E26-D26)/(E27-E26)))/((F26-D26)/(E27-F26))^2)*((D42-0.5)/(D42*(1-D42))+LN(D42/(1-D42))))^(-1)*(1+EXP(LN((F26-D26)/(E27-F26))+(1/2)*(LN((1-E25)/E25))^-1*LN(((D27-D26)/(E27-D27))/((E26-D26)/(E27-E26)))*LN(D42/(1-D42))+((1-2*E25)*(LN((1-E25)/E25)))^-1*LN((((D27-D26)/(E27-D27))*((E26-D26)/(E27-E26)))/((F26-D26)/(E27-F26))^2)*(D42-0.5)*LN(D42/(1-D42))))^2/((E27-D26)*EXP(LN((F26-D26)/(E27-F26))+(1/2)*(LN((1-E25)/E25))^-1*LN(((D27-D26)/(E27-D27))/((E26-D26)/(E27-E26)))*LN(D42/(1-D42))+((1-2*E25)*(LN((1-E25)/E25)))^-1*LN((((D27-D26)/(E27-D27))*((E26-D26)/(E27-E26)))/((F26-D26)/(E27-F26))^2)*(D42-0.5)*LN(D42/(1-D42)))),NA())))))</f>
        <v>3.3009303968930879E-3</v>
      </c>
      <c r="H42" s="72">
        <v>6</v>
      </c>
      <c r="I42" s="69">
        <f t="shared" si="0"/>
        <v>-1.9107343513365589</v>
      </c>
      <c r="J42" s="70">
        <f t="shared" si="1"/>
        <v>2</v>
      </c>
      <c r="K42" s="71">
        <f t="shared" si="2"/>
        <v>4.6164021482638067E-4</v>
      </c>
    </row>
    <row r="43" spans="4:17" x14ac:dyDescent="0.35">
      <c r="D43" s="47">
        <f>IF(F27&lt;&gt;"",NA(),(ROW()-ROW(D40))/100)</f>
        <v>0.03</v>
      </c>
      <c r="E43" s="48">
        <f>IF(F27&lt;&gt;"",NA(),IF(F25="u",F26+(1/2)*(LN((1-E25)/E25))^-1*(D27-E26)*LN(D43/(1-D43))+((1-2*E25)*(LN((1-E25)/E25)))^-1*(1-2*(F26-E26)/(D27-E26))*(D27-E26)*(D43-0.5)*LN(D43/(1-D43)),IF(F25="sl",D26+EXP(LN(F26-D26)+(1/2)*(LN((1-E25)/E25))^-1*LN((D27-D26)/(E26-D26))*LN(D43/(1-D43))+((1-2*E25)*(LN((1-E25)/E25)))^-1*LN(((D27-D26)*(E26-D26))/(F26-D26)^2)*(D43-0.5)*LN(D43/(1-D43))),IF(F25="su",E27-EXP(-(-LN(E27-F26)-(1/2)*(LN((1-E25)/E25))^-1*LN((E27-D27)/(E27-E26))*LN(D43/(1-D43))-((1-2*E25)*(LN((1-E25)/E25)))^-1*LN(((E27-D27)*(E27-E26))/(E27-F26)^2)*(D43-0.5)*LN(D43/(1-D43)))),IF(F25="b",(D26+E27*EXP(LN((F26-D26)/(E27-F26))+(1/2)*(LN((1-E25)/E25))^-1*LN(((D27-D26)/(E27-D27))/((E26-D26)/(E27-E26)))*LN(D43/(1-D43))+((1-2*E25)*(LN((1-E25)/E25)))^-1*LN((((D27-D26)/(E27-D27))*((E26-D26)/(E27-E26)))/((F26-D26)/(E27-F26))^2)*(D43-0.5)*LN(D43/(1-D43))))/(1+EXP(LN((F26-D26)/(E27-F26))+(1/2)*(LN((1-E25)/E25))^-1*LN(((D27-D26)/(E27-D27))/((E26-D26)/(E27-E26)))*LN(D43/(1-D43))+((1-2*E25)*(LN((1-E25)/E25)))^-1*LN((((D27-D26)/(E27-D27))*((E26-D26)/(E27-E26)))/((F26-D26)/(E27-F26))^2)*(D43-0.5)*LN(D43/(1-D43)))),NA())))))</f>
        <v>12.653675231755811</v>
      </c>
      <c r="F43" s="49">
        <f>IF(F27&lt;&gt;"",NA(),IF(F25="u",((1/2)*(LN((1-E25)/E25))^-1*(D27-E26)/(D43*(1-D43))+((1-2*E25)*(LN((1-E25)/E25)))^-1*(1-2*(F26-E26)/(D27-E26))*(D27-E26)*((D43-0.5)/(D43*(1-D43))+LN(D43/(1-D43))))^(-1),IF(F25="sl",((1/2)*(LN((1-E25)/E25))^-1*LN((D27-D26)/(E26-D26))/(D43*(1-D43))+((1-2*E25)*(LN((1-E25)/E25)))^-1*LN(((D27-D26)*(E26-D26))/(F26-D26)^2)*((D43-0.5)/(D43*(1-D43))+LN(D43/(1-D43))))^(-1)*EXP(-(LN(F26-D26)+(1/2)*(LN((1-E25)/E25))^-1*LN((D27-D26)/(E26-D26))*LN(D43/(1-D43))+((1-2*E25)*(LN((1-E25)/E25)))^-1*LN(((D27-D26)*(E26-D26))/(F26-D26)^2)*(D43-0.5)*LN(D43/(1-D43)))),IF(F25="su",(-(1/2)*(LN((1-E25)/E25))^-1*LN((E27-D27)/(E27-E26))/(D43*(1-D43))-((1-2*E25)*(LN((1-E25)/E25)))^-1*LN(((E27-D27)*(E27-E26))/(E27-F26)^2)*((D43-0.5)/(D43*(1-D43))+LN(D43/(1-D43))))^(-1)*EXP((-LN(E27-F26)-(1/2)*(LN((1-E25)/E25))^-1*LN((E27-D27)/(E27-E26))*LN(D43/(1-D43))-((1-2*E25)*(LN((1-E25)/E25)))^-1*LN(((E27-D27)*(E27-E26))/(E27-F26)^2)*(D43-0.5)*LN(D43/(1-D43)))),IF(F25="b",((1/2)*(LN((1-E25)/E25))^-1*LN(((D27-D26)/(E27-D27))/((E26-D26)/(E27-E26)))/(D43*(1-D43))+((1-2*E25)*(LN((1-E25)/E25)))^-1*LN((((D27-D26)/(E27-D27))*((E26-D26)/(E27-E26)))/((F26-D26)/(E27-F26))^2)*((D43-0.5)/(D43*(1-D43))+LN(D43/(1-D43))))^(-1)*(1+EXP(LN((F26-D26)/(E27-F26))+(1/2)*(LN((1-E25)/E25))^-1*LN(((D27-D26)/(E27-D27))/((E26-D26)/(E27-E26)))*LN(D43/(1-D43))+((1-2*E25)*(LN((1-E25)/E25)))^-1*LN((((D27-D26)/(E27-D27))*((E26-D26)/(E27-E26)))/((F26-D26)/(E27-F26))^2)*(D43-0.5)*LN(D43/(1-D43))))^2/((E27-D26)*EXP(LN((F26-D26)/(E27-F26))+(1/2)*(LN((1-E25)/E25))^-1*LN(((D27-D26)/(E27-D27))/((E26-D26)/(E27-E26)))*LN(D43/(1-D43))+((1-2*E25)*(LN((1-E25)/E25)))^-1*LN((((D27-D26)/(E27-D27))*((E26-D26)/(E27-E26)))/((F26-D26)/(E27-F26))^2)*(D43-0.5)*LN(D43/(1-D43)))),NA())))))</f>
        <v>4.9717267327358278E-3</v>
      </c>
      <c r="H43" s="72">
        <v>7</v>
      </c>
      <c r="I43" s="69">
        <f t="shared" si="0"/>
        <v>-0.64067392139347357</v>
      </c>
      <c r="J43" s="70">
        <f t="shared" si="1"/>
        <v>3</v>
      </c>
      <c r="K43" s="71">
        <f t="shared" si="2"/>
        <v>5.750825329869124E-4</v>
      </c>
    </row>
    <row r="44" spans="4:17" x14ac:dyDescent="0.35">
      <c r="D44" s="47">
        <f>IF(F27&lt;&gt;"",NA(),(ROW()-ROW(D40))/100)</f>
        <v>0.04</v>
      </c>
      <c r="E44" s="48">
        <f>IF(F27&lt;&gt;"",NA(),IF(F25="u",F26+(1/2)*(LN((1-E25)/E25))^-1*(D27-E26)*LN(D44/(1-D44))+((1-2*E25)*(LN((1-E25)/E25)))^-1*(1-2*(F26-E26)/(D27-E26))*(D27-E26)*(D44-0.5)*LN(D44/(1-D44)),IF(F25="sl",D26+EXP(LN(F26-D26)+(1/2)*(LN((1-E25)/E25))^-1*LN((D27-D26)/(E26-D26))*LN(D44/(1-D44))+((1-2*E25)*(LN((1-E25)/E25)))^-1*LN(((D27-D26)*(E26-D26))/(F26-D26)^2)*(D44-0.5)*LN(D44/(1-D44))),IF(F25="su",E27-EXP(-(-LN(E27-F26)-(1/2)*(LN((1-E25)/E25))^-1*LN((E27-D27)/(E27-E26))*LN(D44/(1-D44))-((1-2*E25)*(LN((1-E25)/E25)))^-1*LN(((E27-D27)*(E27-E26))/(E27-F26)^2)*(D44-0.5)*LN(D44/(1-D44)))),IF(F25="b",(D26+E27*EXP(LN((F26-D26)/(E27-F26))+(1/2)*(LN((1-E25)/E25))^-1*LN(((D27-D26)/(E27-D27))/((E26-D26)/(E27-E26)))*LN(D44/(1-D44))+((1-2*E25)*(LN((1-E25)/E25)))^-1*LN((((D27-D26)/(E27-D27))*((E26-D26)/(E27-E26)))/((F26-D26)/(E27-F26))^2)*(D44-0.5)*LN(D44/(1-D44))))/(1+EXP(LN((F26-D26)/(E27-F26))+(1/2)*(LN((1-E25)/E25))^-1*LN(((D27-D26)/(E27-D27))/((E26-D26)/(E27-E26)))*LN(D44/(1-D44))+((1-2*E25)*(LN((1-E25)/E25)))^-1*LN((((D27-D26)/(E27-D27))*((E26-D26)/(E27-E26)))/((F26-D26)/(E27-F26))^2)*(D44-0.5)*LN(D44/(1-D44)))),NA())))))</f>
        <v>14.388876517410104</v>
      </c>
      <c r="F44" s="49">
        <f>IF(F27&lt;&gt;"",NA(),IF(F25="u",((1/2)*(LN((1-E25)/E25))^-1*(D27-E26)/(D44*(1-D44))+((1-2*E25)*(LN((1-E25)/E25)))^-1*(1-2*(F26-E26)/(D27-E26))*(D27-E26)*((D44-0.5)/(D44*(1-D44))+LN(D44/(1-D44))))^(-1),IF(F25="sl",((1/2)*(LN((1-E25)/E25))^-1*LN((D27-D26)/(E26-D26))/(D44*(1-D44))+((1-2*E25)*(LN((1-E25)/E25)))^-1*LN(((D27-D26)*(E26-D26))/(F26-D26)^2)*((D44-0.5)/(D44*(1-D44))+LN(D44/(1-D44))))^(-1)*EXP(-(LN(F26-D26)+(1/2)*(LN((1-E25)/E25))^-1*LN((D27-D26)/(E26-D26))*LN(D44/(1-D44))+((1-2*E25)*(LN((1-E25)/E25)))^-1*LN(((D27-D26)*(E26-D26))/(F26-D26)^2)*(D44-0.5)*LN(D44/(1-D44)))),IF(F25="su",(-(1/2)*(LN((1-E25)/E25))^-1*LN((E27-D27)/(E27-E26))/(D44*(1-D44))-((1-2*E25)*(LN((1-E25)/E25)))^-1*LN(((E27-D27)*(E27-E26))/(E27-F26)^2)*((D44-0.5)/(D44*(1-D44))+LN(D44/(1-D44))))^(-1)*EXP((-LN(E27-F26)-(1/2)*(LN((1-E25)/E25))^-1*LN((E27-D27)/(E27-E26))*LN(D44/(1-D44))-((1-2*E25)*(LN((1-E25)/E25)))^-1*LN(((E27-D27)*(E27-E26))/(E27-F26)^2)*(D44-0.5)*LN(D44/(1-D44)))),IF(F25="b",((1/2)*(LN((1-E25)/E25))^-1*LN(((D27-D26)/(E27-D27))/((E26-D26)/(E27-E26)))/(D44*(1-D44))+((1-2*E25)*(LN((1-E25)/E25)))^-1*LN((((D27-D26)/(E27-D27))*((E26-D26)/(E27-E26)))/((F26-D26)/(E27-F26))^2)*((D44-0.5)/(D44*(1-D44))+LN(D44/(1-D44))))^(-1)*(1+EXP(LN((F26-D26)/(E27-F26))+(1/2)*(LN((1-E25)/E25))^-1*LN(((D27-D26)/(E27-D27))/((E26-D26)/(E27-E26)))*LN(D44/(1-D44))+((1-2*E25)*(LN((1-E25)/E25)))^-1*LN((((D27-D26)/(E27-D27))*((E26-D26)/(E27-E26)))/((F26-D26)/(E27-F26))^2)*(D44-0.5)*LN(D44/(1-D44))))^2/((E27-D26)*EXP(LN((F26-D26)/(E27-F26))+(1/2)*(LN((1-E25)/E25))^-1*LN(((D27-D26)/(E27-D27))/((E26-D26)/(E27-E26)))*LN(D44/(1-D44))+((1-2*E25)*(LN((1-E25)/E25)))^-1*LN((((D27-D26)/(E27-D27))*((E26-D26)/(E27-E26)))/((F26-D26)/(E27-F26))^2)*(D44-0.5)*LN(D44/(1-D44)))),NA())))))</f>
        <v>6.6307672013204005E-3</v>
      </c>
      <c r="H44" s="72">
        <v>8</v>
      </c>
      <c r="I44" s="69">
        <f t="shared" si="0"/>
        <v>0.62938650854961176</v>
      </c>
      <c r="J44" s="70">
        <f t="shared" si="1"/>
        <v>3</v>
      </c>
      <c r="K44" s="71">
        <f t="shared" si="2"/>
        <v>7.205784918321227E-4</v>
      </c>
    </row>
    <row r="45" spans="4:17" x14ac:dyDescent="0.35">
      <c r="D45" s="47">
        <f>IF(F27&lt;&gt;"",NA(),(ROW()-ROW(D40))/100)</f>
        <v>0.05</v>
      </c>
      <c r="E45" s="48">
        <f>IF(F27&lt;&gt;"",NA(),IF(F25="u",F26+(1/2)*(LN((1-E25)/E25))^-1*(D27-E26)*LN(D45/(1-D45))+((1-2*E25)*(LN((1-E25)/E25)))^-1*(1-2*(F26-E26)/(D27-E26))*(D27-E26)*(D45-0.5)*LN(D45/(1-D45)),IF(F25="sl",D26+EXP(LN(F26-D26)+(1/2)*(LN((1-E25)/E25))^-1*LN((D27-D26)/(E26-D26))*LN(D45/(1-D45))+((1-2*E25)*(LN((1-E25)/E25)))^-1*LN(((D27-D26)*(E26-D26))/(F26-D26)^2)*(D45-0.5)*LN(D45/(1-D45))),IF(F25="su",E27-EXP(-(-LN(E27-F26)-(1/2)*(LN((1-E25)/E25))^-1*LN((E27-D27)/(E27-E26))*LN(D45/(1-D45))-((1-2*E25)*(LN((1-E25)/E25)))^-1*LN(((E27-D27)*(E27-E26))/(E27-F26)^2)*(D45-0.5)*LN(D45/(1-D45)))),IF(F25="b",(D26+E27*EXP(LN((F26-D26)/(E27-F26))+(1/2)*(LN((1-E25)/E25))^-1*LN(((D27-D26)/(E27-D27))/((E26-D26)/(E27-E26)))*LN(D45/(1-D45))+((1-2*E25)*(LN((1-E25)/E25)))^-1*LN((((D27-D26)/(E27-D27))*((E26-D26)/(E27-E26)))/((F26-D26)/(E27-F26))^2)*(D45-0.5)*LN(D45/(1-D45))))/(1+EXP(LN((F26-D26)/(E27-F26))+(1/2)*(LN((1-E25)/E25))^-1*LN(((D27-D26)/(E27-D27))/((E26-D26)/(E27-E26)))*LN(D45/(1-D45))+((1-2*E25)*(LN((1-E25)/E25)))^-1*LN((((D27-D26)/(E27-D27))*((E26-D26)/(E27-E26)))/((F26-D26)/(E27-F26))^2)*(D45-0.5)*LN(D45/(1-D45)))),NA())))))</f>
        <v>15.736466011666684</v>
      </c>
      <c r="F45" s="49">
        <f>IF(F27&lt;&gt;"",NA(),IF(F25="u",((1/2)*(LN((1-E25)/E25))^-1*(D27-E26)/(D45*(1-D45))+((1-2*E25)*(LN((1-E25)/E25)))^-1*(1-2*(F26-E26)/(D27-E26))*(D27-E26)*((D45-0.5)/(D45*(1-D45))+LN(D45/(1-D45))))^(-1),IF(F25="sl",((1/2)*(LN((1-E25)/E25))^-1*LN((D27-D26)/(E26-D26))/(D45*(1-D45))+((1-2*E25)*(LN((1-E25)/E25)))^-1*LN(((D27-D26)*(E26-D26))/(F26-D26)^2)*((D45-0.5)/(D45*(1-D45))+LN(D45/(1-D45))))^(-1)*EXP(-(LN(F26-D26)+(1/2)*(LN((1-E25)/E25))^-1*LN((D27-D26)/(E26-D26))*LN(D45/(1-D45))+((1-2*E25)*(LN((1-E25)/E25)))^-1*LN(((D27-D26)*(E26-D26))/(F26-D26)^2)*(D45-0.5)*LN(D45/(1-D45)))),IF(F25="su",(-(1/2)*(LN((1-E25)/E25))^-1*LN((E27-D27)/(E27-E26))/(D45*(1-D45))-((1-2*E25)*(LN((1-E25)/E25)))^-1*LN(((E27-D27)*(E27-E26))/(E27-F26)^2)*((D45-0.5)/(D45*(1-D45))+LN(D45/(1-D45))))^(-1)*EXP((-LN(E27-F26)-(1/2)*(LN((1-E25)/E25))^-1*LN((E27-D27)/(E27-E26))*LN(D45/(1-D45))-((1-2*E25)*(LN((1-E25)/E25)))^-1*LN(((E27-D27)*(E27-E26))/(E27-F26)^2)*(D45-0.5)*LN(D45/(1-D45)))),IF(F25="b",((1/2)*(LN((1-E25)/E25))^-1*LN(((D27-D26)/(E27-D27))/((E26-D26)/(E27-E26)))/(D45*(1-D45))+((1-2*E25)*(LN((1-E25)/E25)))^-1*LN((((D27-D26)/(E27-D27))*((E26-D26)/(E27-E26)))/((F26-D26)/(E27-F26))^2)*((D45-0.5)/(D45*(1-D45))+LN(D45/(1-D45))))^(-1)*(1+EXP(LN((F26-D26)/(E27-F26))+(1/2)*(LN((1-E25)/E25))^-1*LN(((D27-D26)/(E27-D27))/((E26-D26)/(E27-E26)))*LN(D45/(1-D45))+((1-2*E25)*(LN((1-E25)/E25)))^-1*LN((((D27-D26)/(E27-D27))*((E26-D26)/(E27-E26)))/((F26-D26)/(E27-F26))^2)*(D45-0.5)*LN(D45/(1-D45))))^2/((E27-D26)*EXP(LN((F26-D26)/(E27-F26))+(1/2)*(LN((1-E25)/E25))^-1*LN(((D27-D26)/(E27-D27))/((E26-D26)/(E27-E26)))*LN(D45/(1-D45))+((1-2*E25)*(LN((1-E25)/E25)))^-1*LN((((D27-D26)/(E27-D27))*((E26-D26)/(E27-E26)))/((F26-D26)/(E27-F26))^2)*(D45-0.5)*LN(D45/(1-D45)))),NA())))))</f>
        <v>8.2656467738747852E-3</v>
      </c>
      <c r="H45" s="72">
        <v>9</v>
      </c>
      <c r="I45" s="69">
        <f t="shared" si="0"/>
        <v>1.8994469384926971</v>
      </c>
      <c r="J45" s="70">
        <f t="shared" si="1"/>
        <v>3</v>
      </c>
      <c r="K45" s="71">
        <f t="shared" si="2"/>
        <v>8.6607445067733311E-4</v>
      </c>
    </row>
    <row r="46" spans="4:17" x14ac:dyDescent="0.35">
      <c r="D46" s="47">
        <f>IF(F27&lt;&gt;"",NA(),(ROW()-ROW(D40))/100)</f>
        <v>0.06</v>
      </c>
      <c r="E46" s="48">
        <f>IF(F27&lt;&gt;"",NA(),IF(F25="u",F26+(1/2)*(LN((1-E25)/E25))^-1*(D27-E26)*LN(D46/(1-D46))+((1-2*E25)*(LN((1-E25)/E25)))^-1*(1-2*(F26-E26)/(D27-E26))*(D27-E26)*(D46-0.5)*LN(D46/(1-D46)),IF(F25="sl",D26+EXP(LN(F26-D26)+(1/2)*(LN((1-E25)/E25))^-1*LN((D27-D26)/(E26-D26))*LN(D46/(1-D46))+((1-2*E25)*(LN((1-E25)/E25)))^-1*LN(((D27-D26)*(E26-D26))/(F26-D26)^2)*(D46-0.5)*LN(D46/(1-D46))),IF(F25="su",E27-EXP(-(-LN(E27-F26)-(1/2)*(LN((1-E25)/E25))^-1*LN((E27-D27)/(E27-E26))*LN(D46/(1-D46))-((1-2*E25)*(LN((1-E25)/E25)))^-1*LN(((E27-D27)*(E27-E26))/(E27-F26)^2)*(D46-0.5)*LN(D46/(1-D46)))),IF(F25="b",(D26+E27*EXP(LN((F26-D26)/(E27-F26))+(1/2)*(LN((1-E25)/E25))^-1*LN(((D27-D26)/(E27-D27))/((E26-D26)/(E27-E26)))*LN(D46/(1-D46))+((1-2*E25)*(LN((1-E25)/E25)))^-1*LN((((D27-D26)/(E27-D27))*((E26-D26)/(E27-E26)))/((F26-D26)/(E27-F26))^2)*(D46-0.5)*LN(D46/(1-D46))))/(1+EXP(LN((F26-D26)/(E27-F26))+(1/2)*(LN((1-E25)/E25))^-1*LN(((D27-D26)/(E27-D27))/((E26-D26)/(E27-E26)))*LN(D46/(1-D46))+((1-2*E25)*(LN((1-E25)/E25)))^-1*LN((((D27-D26)/(E27-D27))*((E26-D26)/(E27-E26)))/((F26-D26)/(E27-F26))^2)*(D46-0.5)*LN(D46/(1-D46)))),NA())))))</f>
        <v>16.841973528496915</v>
      </c>
      <c r="F46" s="49">
        <f>IF(F27&lt;&gt;"",NA(),IF(F25="u",((1/2)*(LN((1-E25)/E25))^-1*(D27-E26)/(D46*(1-D46))+((1-2*E25)*(LN((1-E25)/E25)))^-1*(1-2*(F26-E26)/(D27-E26))*(D27-E26)*((D46-0.5)/(D46*(1-D46))+LN(D46/(1-D46))))^(-1),IF(F25="sl",((1/2)*(LN((1-E25)/E25))^-1*LN((D27-D26)/(E26-D26))/(D46*(1-D46))+((1-2*E25)*(LN((1-E25)/E25)))^-1*LN(((D27-D26)*(E26-D26))/(F26-D26)^2)*((D46-0.5)/(D46*(1-D46))+LN(D46/(1-D46))))^(-1)*EXP(-(LN(F26-D26)+(1/2)*(LN((1-E25)/E25))^-1*LN((D27-D26)/(E26-D26))*LN(D46/(1-D46))+((1-2*E25)*(LN((1-E25)/E25)))^-1*LN(((D27-D26)*(E26-D26))/(F26-D26)^2)*(D46-0.5)*LN(D46/(1-D46)))),IF(F25="su",(-(1/2)*(LN((1-E25)/E25))^-1*LN((E27-D27)/(E27-E26))/(D46*(1-D46))-((1-2*E25)*(LN((1-E25)/E25)))^-1*LN(((E27-D27)*(E27-E26))/(E27-F26)^2)*((D46-0.5)/(D46*(1-D46))+LN(D46/(1-D46))))^(-1)*EXP((-LN(E27-F26)-(1/2)*(LN((1-E25)/E25))^-1*LN((E27-D27)/(E27-E26))*LN(D46/(1-D46))-((1-2*E25)*(LN((1-E25)/E25)))^-1*LN(((E27-D27)*(E27-E26))/(E27-F26)^2)*(D46-0.5)*LN(D46/(1-D46)))),IF(F25="b",((1/2)*(LN((1-E25)/E25))^-1*LN(((D27-D26)/(E27-D27))/((E26-D26)/(E27-E26)))/(D46*(1-D46))+((1-2*E25)*(LN((1-E25)/E25)))^-1*LN((((D27-D26)/(E27-D27))*((E26-D26)/(E27-E26)))/((F26-D26)/(E27-F26))^2)*((D46-0.5)/(D46*(1-D46))+LN(D46/(1-D46))))^(-1)*(1+EXP(LN((F26-D26)/(E27-F26))+(1/2)*(LN((1-E25)/E25))^-1*LN(((D27-D26)/(E27-D27))/((E26-D26)/(E27-E26)))*LN(D46/(1-D46))+((1-2*E25)*(LN((1-E25)/E25)))^-1*LN((((D27-D26)/(E27-D27))*((E26-D26)/(E27-E26)))/((F26-D26)/(E27-F26))^2)*(D46-0.5)*LN(D46/(1-D46))))^2/((E27-D26)*EXP(LN((F26-D26)/(E27-F26))+(1/2)*(LN((1-E25)/E25))^-1*LN(((D27-D26)/(E27-D27))/((E26-D26)/(E27-E26)))*LN(D46/(1-D46))+((1-2*E25)*(LN((1-E25)/E25)))^-1*LN((((D27-D26)/(E27-D27))*((E26-D26)/(E27-E26)))/((F26-D26)/(E27-F26))^2)*(D46-0.5)*LN(D46/(1-D46)))),NA())))))</f>
        <v>9.8663863465710249E-3</v>
      </c>
      <c r="H46" s="72">
        <v>10</v>
      </c>
      <c r="I46" s="69">
        <f t="shared" si="0"/>
        <v>3.1695073684357826</v>
      </c>
      <c r="J46" s="70">
        <f t="shared" si="1"/>
        <v>4</v>
      </c>
      <c r="K46" s="71">
        <f t="shared" si="2"/>
        <v>1.0424406902710291E-3</v>
      </c>
    </row>
    <row r="47" spans="4:17" x14ac:dyDescent="0.35">
      <c r="D47" s="47">
        <f>IF(F27&lt;&gt;"",NA(),(ROW()-ROW(D40))/100)</f>
        <v>7.0000000000000007E-2</v>
      </c>
      <c r="E47" s="48">
        <f>IF(F27&lt;&gt;"",NA(),IF(F25="u",F26+(1/2)*(LN((1-E25)/E25))^-1*(D27-E26)*LN(D47/(1-D47))+((1-2*E25)*(LN((1-E25)/E25)))^-1*(1-2*(F26-E26)/(D27-E26))*(D27-E26)*(D47-0.5)*LN(D47/(1-D47)),IF(F25="sl",D26+EXP(LN(F26-D26)+(1/2)*(LN((1-E25)/E25))^-1*LN((D27-D26)/(E26-D26))*LN(D47/(1-D47))+((1-2*E25)*(LN((1-E25)/E25)))^-1*LN(((D27-D26)*(E26-D26))/(F26-D26)^2)*(D47-0.5)*LN(D47/(1-D47))),IF(F25="su",E27-EXP(-(-LN(E27-F26)-(1/2)*(LN((1-E25)/E25))^-1*LN((E27-D27)/(E27-E26))*LN(D47/(1-D47))-((1-2*E25)*(LN((1-E25)/E25)))^-1*LN(((E27-D27)*(E27-E26))/(E27-F26)^2)*(D47-0.5)*LN(D47/(1-D47)))),IF(F25="b",(D26+E27*EXP(LN((F26-D26)/(E27-F26))+(1/2)*(LN((1-E25)/E25))^-1*LN(((D27-D26)/(E27-D27))/((E26-D26)/(E27-E26)))*LN(D47/(1-D47))+((1-2*E25)*(LN((1-E25)/E25)))^-1*LN((((D27-D26)/(E27-D27))*((E26-D26)/(E27-E26)))/((F26-D26)/(E27-F26))^2)*(D47-0.5)*LN(D47/(1-D47))))/(1+EXP(LN((F26-D26)/(E27-F26))+(1/2)*(LN((1-E25)/E25))^-1*LN(((D27-D26)/(E27-D27))/((E26-D26)/(E27-E26)))*LN(D47/(1-D47))+((1-2*E25)*(LN((1-E25)/E25)))^-1*LN((((D27-D26)/(E27-D27))*((E26-D26)/(E27-E26)))/((F26-D26)/(E27-F26))^2)*(D47-0.5)*LN(D47/(1-D47)))),NA())))))</f>
        <v>17.782674084550983</v>
      </c>
      <c r="F47" s="49">
        <f>IF(F27&lt;&gt;"",NA(),IF(F25="u",((1/2)*(LN((1-E25)/E25))^-1*(D27-E26)/(D47*(1-D47))+((1-2*E25)*(LN((1-E25)/E25)))^-1*(1-2*(F26-E26)/(D27-E26))*(D27-E26)*((D47-0.5)/(D47*(1-D47))+LN(D47/(1-D47))))^(-1),IF(F25="sl",((1/2)*(LN((1-E25)/E25))^-1*LN((D27-D26)/(E26-D26))/(D47*(1-D47))+((1-2*E25)*(LN((1-E25)/E25)))^-1*LN(((D27-D26)*(E26-D26))/(F26-D26)^2)*((D47-0.5)/(D47*(1-D47))+LN(D47/(1-D47))))^(-1)*EXP(-(LN(F26-D26)+(1/2)*(LN((1-E25)/E25))^-1*LN((D27-D26)/(E26-D26))*LN(D47/(1-D47))+((1-2*E25)*(LN((1-E25)/E25)))^-1*LN(((D27-D26)*(E26-D26))/(F26-D26)^2)*(D47-0.5)*LN(D47/(1-D47)))),IF(F25="su",(-(1/2)*(LN((1-E25)/E25))^-1*LN((E27-D27)/(E27-E26))/(D47*(1-D47))-((1-2*E25)*(LN((1-E25)/E25)))^-1*LN(((E27-D27)*(E27-E26))/(E27-F26)^2)*((D47-0.5)/(D47*(1-D47))+LN(D47/(1-D47))))^(-1)*EXP((-LN(E27-F26)-(1/2)*(LN((1-E25)/E25))^-1*LN((E27-D27)/(E27-E26))*LN(D47/(1-D47))-((1-2*E25)*(LN((1-E25)/E25)))^-1*LN(((E27-D27)*(E27-E26))/(E27-F26)^2)*(D47-0.5)*LN(D47/(1-D47)))),IF(F25="b",((1/2)*(LN((1-E25)/E25))^-1*LN(((D27-D26)/(E27-D27))/((E26-D26)/(E27-E26)))/(D47*(1-D47))+((1-2*E25)*(LN((1-E25)/E25)))^-1*LN((((D27-D26)/(E27-D27))*((E26-D26)/(E27-E26)))/((F26-D26)/(E27-F26))^2)*((D47-0.5)/(D47*(1-D47))+LN(D47/(1-D47))))^(-1)*(1+EXP(LN((F26-D26)/(E27-F26))+(1/2)*(LN((1-E25)/E25))^-1*LN(((D27-D26)/(E27-D27))/((E26-D26)/(E27-E26)))*LN(D47/(1-D47))+((1-2*E25)*(LN((1-E25)/E25)))^-1*LN((((D27-D26)/(E27-D27))*((E26-D26)/(E27-E26)))/((F26-D26)/(E27-F26))^2)*(D47-0.5)*LN(D47/(1-D47))))^2/((E27-D26)*EXP(LN((F26-D26)/(E27-F26))+(1/2)*(LN((1-E25)/E25))^-1*LN(((D27-D26)/(E27-D27))/((E26-D26)/(E27-E26)))*LN(D47/(1-D47))+((1-2*E25)*(LN((1-E25)/E25)))^-1*LN((((D27-D26)/(E27-D27))*((E26-D26)/(E27-E26)))/((F26-D26)/(E27-F26))^2)*(D47-0.5)*LN(D47/(1-D47)))),NA())))))</f>
        <v>1.1424791400623241E-2</v>
      </c>
      <c r="H47" s="72">
        <v>11</v>
      </c>
      <c r="I47" s="69">
        <f t="shared" si="0"/>
        <v>4.4395677983788682</v>
      </c>
      <c r="J47" s="70">
        <f t="shared" si="1"/>
        <v>4</v>
      </c>
      <c r="K47" s="71">
        <f t="shared" si="2"/>
        <v>1.3098365630284461E-3</v>
      </c>
    </row>
    <row r="48" spans="4:17" x14ac:dyDescent="0.35">
      <c r="D48" s="47">
        <f>IF(F27&lt;&gt;"",NA(),(ROW()-ROW(D40))/100)</f>
        <v>0.08</v>
      </c>
      <c r="E48" s="48">
        <f>IF(F27&lt;&gt;"",NA(),IF(F25="u",F26+(1/2)*(LN((1-E25)/E25))^-1*(D27-E26)*LN(D48/(1-D48))+((1-2*E25)*(LN((1-E25)/E25)))^-1*(1-2*(F26-E26)/(D27-E26))*(D27-E26)*(D48-0.5)*LN(D48/(1-D48)),IF(F25="sl",D26+EXP(LN(F26-D26)+(1/2)*(LN((1-E25)/E25))^-1*LN((D27-D26)/(E26-D26))*LN(D48/(1-D48))+((1-2*E25)*(LN((1-E25)/E25)))^-1*LN(((D27-D26)*(E26-D26))/(F26-D26)^2)*(D48-0.5)*LN(D48/(1-D48))),IF(F25="su",E27-EXP(-(-LN(E27-F26)-(1/2)*(LN((1-E25)/E25))^-1*LN((E27-D27)/(E27-E26))*LN(D48/(1-D48))-((1-2*E25)*(LN((1-E25)/E25)))^-1*LN(((E27-D27)*(E27-E26))/(E27-F26)^2)*(D48-0.5)*LN(D48/(1-D48)))),IF(F25="b",(D26+E27*EXP(LN((F26-D26)/(E27-F26))+(1/2)*(LN((1-E25)/E25))^-1*LN(((D27-D26)/(E27-D27))/((E26-D26)/(E27-E26)))*LN(D48/(1-D48))+((1-2*E25)*(LN((1-E25)/E25)))^-1*LN((((D27-D26)/(E27-D27))*((E26-D26)/(E27-E26)))/((F26-D26)/(E27-F26))^2)*(D48-0.5)*LN(D48/(1-D48))))/(1+EXP(LN((F26-D26)/(E27-F26))+(1/2)*(LN((1-E25)/E25))^-1*LN(((D27-D26)/(E27-D27))/((E26-D26)/(E27-E26)))*LN(D48/(1-D48))+((1-2*E25)*(LN((1-E25)/E25)))^-1*LN((((D27-D26)/(E27-D27))*((E26-D26)/(E27-E26)))/((F26-D26)/(E27-F26))^2)*(D48-0.5)*LN(D48/(1-D48)))),NA())))))</f>
        <v>18.604489434862501</v>
      </c>
      <c r="F48" s="49">
        <f>IF(F27&lt;&gt;"",NA(),IF(F25="u",((1/2)*(LN((1-E25)/E25))^-1*(D27-E26)/(D48*(1-D48))+((1-2*E25)*(LN((1-E25)/E25)))^-1*(1-2*(F26-E26)/(D27-E26))*(D27-E26)*((D48-0.5)/(D48*(1-D48))+LN(D48/(1-D48))))^(-1),IF(F25="sl",((1/2)*(LN((1-E25)/E25))^-1*LN((D27-D26)/(E26-D26))/(D48*(1-D48))+((1-2*E25)*(LN((1-E25)/E25)))^-1*LN(((D27-D26)*(E26-D26))/(F26-D26)^2)*((D48-0.5)/(D48*(1-D48))+LN(D48/(1-D48))))^(-1)*EXP(-(LN(F26-D26)+(1/2)*(LN((1-E25)/E25))^-1*LN((D27-D26)/(E26-D26))*LN(D48/(1-D48))+((1-2*E25)*(LN((1-E25)/E25)))^-1*LN(((D27-D26)*(E26-D26))/(F26-D26)^2)*(D48-0.5)*LN(D48/(1-D48)))),IF(F25="su",(-(1/2)*(LN((1-E25)/E25))^-1*LN((E27-D27)/(E27-E26))/(D48*(1-D48))-((1-2*E25)*(LN((1-E25)/E25)))^-1*LN(((E27-D27)*(E27-E26))/(E27-F26)^2)*((D48-0.5)/(D48*(1-D48))+LN(D48/(1-D48))))^(-1)*EXP((-LN(E27-F26)-(1/2)*(LN((1-E25)/E25))^-1*LN((E27-D27)/(E27-E26))*LN(D48/(1-D48))-((1-2*E25)*(LN((1-E25)/E25)))^-1*LN(((E27-D27)*(E27-E26))/(E27-F26)^2)*(D48-0.5)*LN(D48/(1-D48)))),IF(F25="b",((1/2)*(LN((1-E25)/E25))^-1*LN(((D27-D26)/(E27-D27))/((E26-D26)/(E27-E26)))/(D48*(1-D48))+((1-2*E25)*(LN((1-E25)/E25)))^-1*LN((((D27-D26)/(E27-D27))*((E26-D26)/(E27-E26)))/((F26-D26)/(E27-F26))^2)*((D48-0.5)/(D48*(1-D48))+LN(D48/(1-D48))))^(-1)*(1+EXP(LN((F26-D26)/(E27-F26))+(1/2)*(LN((1-E25)/E25))^-1*LN(((D27-D26)/(E27-D27))/((E26-D26)/(E27-E26)))*LN(D48/(1-D48))+((1-2*E25)*(LN((1-E25)/E25)))^-1*LN((((D27-D26)/(E27-D27))*((E26-D26)/(E27-E26)))/((F26-D26)/(E27-F26))^2)*(D48-0.5)*LN(D48/(1-D48))))^2/((E27-D26)*EXP(LN((F26-D26)/(E27-F26))+(1/2)*(LN((1-E25)/E25))^-1*LN(((D27-D26)/(E27-D27))/((E26-D26)/(E27-E26)))*LN(D48/(1-D48))+((1-2*E25)*(LN((1-E25)/E25)))^-1*LN((((D27-D26)/(E27-D27))*((E26-D26)/(E27-E26)))/((F26-D26)/(E27-F26))^2)*(D48-0.5)*LN(D48/(1-D48)))),NA())))))</f>
        <v>1.2934111982597222E-2</v>
      </c>
      <c r="H48" s="72">
        <v>12</v>
      </c>
      <c r="I48" s="69">
        <f t="shared" si="0"/>
        <v>5.7096282283219537</v>
      </c>
      <c r="J48" s="70">
        <f t="shared" si="1"/>
        <v>4</v>
      </c>
      <c r="K48" s="71">
        <f t="shared" si="2"/>
        <v>1.5772324357858632E-3</v>
      </c>
    </row>
    <row r="49" spans="4:11" x14ac:dyDescent="0.35">
      <c r="D49" s="47">
        <f>IF(F27&lt;&gt;"",NA(),(ROW()-ROW(D40))/100)</f>
        <v>0.09</v>
      </c>
      <c r="E49" s="48">
        <f>IF(F27&lt;&gt;"",NA(),IF(F25="u",F26+(1/2)*(LN((1-E25)/E25))^-1*(D27-E26)*LN(D49/(1-D49))+((1-2*E25)*(LN((1-E25)/E25)))^-1*(1-2*(F26-E26)/(D27-E26))*(D27-E26)*(D49-0.5)*LN(D49/(1-D49)),IF(F25="sl",D26+EXP(LN(F26-D26)+(1/2)*(LN((1-E25)/E25))^-1*LN((D27-D26)/(E26-D26))*LN(D49/(1-D49))+((1-2*E25)*(LN((1-E25)/E25)))^-1*LN(((D27-D26)*(E26-D26))/(F26-D26)^2)*(D49-0.5)*LN(D49/(1-D49))),IF(F25="su",E27-EXP(-(-LN(E27-F26)-(1/2)*(LN((1-E25)/E25))^-1*LN((E27-D27)/(E27-E26))*LN(D49/(1-D49))-((1-2*E25)*(LN((1-E25)/E25)))^-1*LN(((E27-D27)*(E27-E26))/(E27-F26)^2)*(D49-0.5)*LN(D49/(1-D49)))),IF(F25="b",(D26+E27*EXP(LN((F26-D26)/(E27-F26))+(1/2)*(LN((1-E25)/E25))^-1*LN(((D27-D26)/(E27-D27))/((E26-D26)/(E27-E26)))*LN(D49/(1-D49))+((1-2*E25)*(LN((1-E25)/E25)))^-1*LN((((D27-D26)/(E27-D27))*((E26-D26)/(E27-E26)))/((F26-D26)/(E27-F26))^2)*(D49-0.5)*LN(D49/(1-D49))))/(1+EXP(LN((F26-D26)/(E27-F26))+(1/2)*(LN((1-E25)/E25))^-1*LN(((D27-D26)/(E27-D27))/((E26-D26)/(E27-E26)))*LN(D49/(1-D49))+((1-2*E25)*(LN((1-E25)/E25)))^-1*LN((((D27-D26)/(E27-D27))*((E26-D26)/(E27-E26)))/((F26-D26)/(E27-F26))^2)*(D49-0.5)*LN(D49/(1-D49)))),NA())))))</f>
        <v>19.336913064533029</v>
      </c>
      <c r="F49" s="49">
        <f>IF(F27&lt;&gt;"",NA(),IF(F25="u",((1/2)*(LN((1-E25)/E25))^-1*(D27-E26)/(D49*(1-D49))+((1-2*E25)*(LN((1-E25)/E25)))^-1*(1-2*(F26-E26)/(D27-E26))*(D27-E26)*((D49-0.5)/(D49*(1-D49))+LN(D49/(1-D49))))^(-1),IF(F25="sl",((1/2)*(LN((1-E25)/E25))^-1*LN((D27-D26)/(E26-D26))/(D49*(1-D49))+((1-2*E25)*(LN((1-E25)/E25)))^-1*LN(((D27-D26)*(E26-D26))/(F26-D26)^2)*((D49-0.5)/(D49*(1-D49))+LN(D49/(1-D49))))^(-1)*EXP(-(LN(F26-D26)+(1/2)*(LN((1-E25)/E25))^-1*LN((D27-D26)/(E26-D26))*LN(D49/(1-D49))+((1-2*E25)*(LN((1-E25)/E25)))^-1*LN(((D27-D26)*(E26-D26))/(F26-D26)^2)*(D49-0.5)*LN(D49/(1-D49)))),IF(F25="su",(-(1/2)*(LN((1-E25)/E25))^-1*LN((E27-D27)/(E27-E26))/(D49*(1-D49))-((1-2*E25)*(LN((1-E25)/E25)))^-1*LN(((E27-D27)*(E27-E26))/(E27-F26)^2)*((D49-0.5)/(D49*(1-D49))+LN(D49/(1-D49))))^(-1)*EXP((-LN(E27-F26)-(1/2)*(LN((1-E25)/E25))^-1*LN((E27-D27)/(E27-E26))*LN(D49/(1-D49))-((1-2*E25)*(LN((1-E25)/E25)))^-1*LN(((E27-D27)*(E27-E26))/(E27-F26)^2)*(D49-0.5)*LN(D49/(1-D49)))),IF(F25="b",((1/2)*(LN((1-E25)/E25))^-1*LN(((D27-D26)/(E27-D27))/((E26-D26)/(E27-E26)))/(D49*(1-D49))+((1-2*E25)*(LN((1-E25)/E25)))^-1*LN((((D27-D26)/(E27-D27))*((E26-D26)/(E27-E26)))/((F26-D26)/(E27-F26))^2)*((D49-0.5)/(D49*(1-D49))+LN(D49/(1-D49))))^(-1)*(1+EXP(LN((F26-D26)/(E27-F26))+(1/2)*(LN((1-E25)/E25))^-1*LN(((D27-D26)/(E27-D27))/((E26-D26)/(E27-E26)))*LN(D49/(1-D49))+((1-2*E25)*(LN((1-E25)/E25)))^-1*LN((((D27-D26)/(E27-D27))*((E26-D26)/(E27-E26)))/((F26-D26)/(E27-F26))^2)*(D49-0.5)*LN(D49/(1-D49))))^2/((E27-D26)*EXP(LN((F26-D26)/(E27-F26))+(1/2)*(LN((1-E25)/E25))^-1*LN(((D27-D26)/(E27-D27))/((E26-D26)/(E27-E26)))*LN(D49/(1-D49))+((1-2*E25)*(LN((1-E25)/E25)))^-1*LN((((D27-D26)/(E27-D27))*((E26-D26)/(E27-E26)))/((F26-D26)/(E27-F26))^2)*(D49-0.5)*LN(D49/(1-D49)))),NA())))))</f>
        <v>1.4388829654515895E-2</v>
      </c>
      <c r="H49" s="72">
        <v>13</v>
      </c>
      <c r="I49" s="69">
        <f t="shared" si="0"/>
        <v>6.9796886582650393</v>
      </c>
      <c r="J49" s="70">
        <f t="shared" si="1"/>
        <v>5</v>
      </c>
      <c r="K49" s="71">
        <f t="shared" si="2"/>
        <v>2.0283662791243718E-3</v>
      </c>
    </row>
    <row r="50" spans="4:11" x14ac:dyDescent="0.35">
      <c r="D50" s="47">
        <f>IF(F27&lt;&gt;"",NA(),(ROW()-ROW(D40))/100)</f>
        <v>0.1</v>
      </c>
      <c r="E50" s="48">
        <f>IF(F27&lt;&gt;"",NA(),IF(F25="u",F26+(1/2)*(LN((1-E25)/E25))^-1*(D27-E26)*LN(D50/(1-D50))+((1-2*E25)*(LN((1-E25)/E25)))^-1*(1-2*(F26-E26)/(D27-E26))*(D27-E26)*(D50-0.5)*LN(D50/(1-D50)),IF(F25="sl",D26+EXP(LN(F26-D26)+(1/2)*(LN((1-E25)/E25))^-1*LN((D27-D26)/(E26-D26))*LN(D50/(1-D50))+((1-2*E25)*(LN((1-E25)/E25)))^-1*LN(((D27-D26)*(E26-D26))/(F26-D26)^2)*(D50-0.5)*LN(D50/(1-D50))),IF(F25="su",E27-EXP(-(-LN(E27-F26)-(1/2)*(LN((1-E25)/E25))^-1*LN((E27-D27)/(E27-E26))*LN(D50/(1-D50))-((1-2*E25)*(LN((1-E25)/E25)))^-1*LN(((E27-D27)*(E27-E26))/(E27-F26)^2)*(D50-0.5)*LN(D50/(1-D50)))),IF(F25="b",(D26+E27*EXP(LN((F26-D26)/(E27-F26))+(1/2)*(LN((1-E25)/E25))^-1*LN(((D27-D26)/(E27-D27))/((E26-D26)/(E27-E26)))*LN(D50/(1-D50))+((1-2*E25)*(LN((1-E25)/E25)))^-1*LN((((D27-D26)/(E27-D27))*((E26-D26)/(E27-E26)))/((F26-D26)/(E27-F26))^2)*(D50-0.5)*LN(D50/(1-D50))))/(1+EXP(LN((F26-D26)/(E27-F26))+(1/2)*(LN((1-E25)/E25))^-1*LN(((D27-D26)/(E27-D27))/((E26-D26)/(E27-E26)))*LN(D50/(1-D50))+((1-2*E25)*(LN((1-E25)/E25)))^-1*LN((((D27-D26)/(E27-D27))*((E26-D26)/(E27-E26)))/((F26-D26)/(E27-F26))^2)*(D50-0.5)*LN(D50/(1-D50)))),NA())))))</f>
        <v>20.000000000000004</v>
      </c>
      <c r="F50" s="49">
        <f>IF(F27&lt;&gt;"",NA(),IF(F25="u",((1/2)*(LN((1-E25)/E25))^-1*(D27-E26)/(D50*(1-D50))+((1-2*E25)*(LN((1-E25)/E25)))^-1*(1-2*(F26-E26)/(D27-E26))*(D27-E26)*((D50-0.5)/(D50*(1-D50))+LN(D50/(1-D50))))^(-1),IF(F25="sl",((1/2)*(LN((1-E25)/E25))^-1*LN((D27-D26)/(E26-D26))/(D50*(1-D50))+((1-2*E25)*(LN((1-E25)/E25)))^-1*LN(((D27-D26)*(E26-D26))/(F26-D26)^2)*((D50-0.5)/(D50*(1-D50))+LN(D50/(1-D50))))^(-1)*EXP(-(LN(F26-D26)+(1/2)*(LN((1-E25)/E25))^-1*LN((D27-D26)/(E26-D26))*LN(D50/(1-D50))+((1-2*E25)*(LN((1-E25)/E25)))^-1*LN(((D27-D26)*(E26-D26))/(F26-D26)^2)*(D50-0.5)*LN(D50/(1-D50)))),IF(F25="su",(-(1/2)*(LN((1-E25)/E25))^-1*LN((E27-D27)/(E27-E26))/(D50*(1-D50))-((1-2*E25)*(LN((1-E25)/E25)))^-1*LN(((E27-D27)*(E27-E26))/(E27-F26)^2)*((D50-0.5)/(D50*(1-D50))+LN(D50/(1-D50))))^(-1)*EXP((-LN(E27-F26)-(1/2)*(LN((1-E25)/E25))^-1*LN((E27-D27)/(E27-E26))*LN(D50/(1-D50))-((1-2*E25)*(LN((1-E25)/E25)))^-1*LN(((E27-D27)*(E27-E26))/(E27-F26)^2)*(D50-0.5)*LN(D50/(1-D50)))),IF(F25="b",((1/2)*(LN((1-E25)/E25))^-1*LN(((D27-D26)/(E27-D27))/((E26-D26)/(E27-E26)))/(D50*(1-D50))+((1-2*E25)*(LN((1-E25)/E25)))^-1*LN((((D27-D26)/(E27-D27))*((E26-D26)/(E27-E26)))/((F26-D26)/(E27-F26))^2)*((D50-0.5)/(D50*(1-D50))+LN(D50/(1-D50))))^(-1)*(1+EXP(LN((F26-D26)/(E27-F26))+(1/2)*(LN((1-E25)/E25))^-1*LN(((D27-D26)/(E27-D27))/((E26-D26)/(E27-E26)))*LN(D50/(1-D50))+((1-2*E25)*(LN((1-E25)/E25)))^-1*LN((((D27-D26)/(E27-D27))*((E26-D26)/(E27-E26)))/((F26-D26)/(E27-F26))^2)*(D50-0.5)*LN(D50/(1-D50))))^2/((E27-D26)*EXP(LN((F26-D26)/(E27-F26))+(1/2)*(LN((1-E25)/E25))^-1*LN(((D27-D26)/(E27-D27))/((E26-D26)/(E27-E26)))*LN(D50/(1-D50))+((1-2*E25)*(LN((1-E25)/E25)))^-1*LN((((D27-D26)/(E27-D27))*((E26-D26)/(E27-E26)))/((F26-D26)/(E27-F26))^2)*(D50-0.5)*LN(D50/(1-D50)))),NA())))))</f>
        <v>1.5784505165885355E-2</v>
      </c>
      <c r="H50" s="72">
        <v>14</v>
      </c>
      <c r="I50" s="69">
        <f t="shared" si="0"/>
        <v>8.2497490882081248</v>
      </c>
      <c r="J50" s="70">
        <f t="shared" si="1"/>
        <v>5</v>
      </c>
      <c r="K50" s="71">
        <f t="shared" si="2"/>
        <v>2.5298506272294313E-3</v>
      </c>
    </row>
    <row r="51" spans="4:11" x14ac:dyDescent="0.35">
      <c r="D51" s="47">
        <f>IF(F27&lt;&gt;"",NA(),(ROW()-ROW(D40))/100)</f>
        <v>0.11</v>
      </c>
      <c r="E51" s="48">
        <f>IF(F27&lt;&gt;"",NA(),IF(F25="u",F26+(1/2)*(LN((1-E25)/E25))^-1*(D27-E26)*LN(D51/(1-D51))+((1-2*E25)*(LN((1-E25)/E25)))^-1*(1-2*(F26-E26)/(D27-E26))*(D27-E26)*(D51-0.5)*LN(D51/(1-D51)),IF(F25="sl",D26+EXP(LN(F26-D26)+(1/2)*(LN((1-E25)/E25))^-1*LN((D27-D26)/(E26-D26))*LN(D51/(1-D51))+((1-2*E25)*(LN((1-E25)/E25)))^-1*LN(((D27-D26)*(E26-D26))/(F26-D26)^2)*(D51-0.5)*LN(D51/(1-D51))),IF(F25="su",E27-EXP(-(-LN(E27-F26)-(1/2)*(LN((1-E25)/E25))^-1*LN((E27-D27)/(E27-E26))*LN(D51/(1-D51))-((1-2*E25)*(LN((1-E25)/E25)))^-1*LN(((E27-D27)*(E27-E26))/(E27-F26)^2)*(D51-0.5)*LN(D51/(1-D51)))),IF(F25="b",(D26+E27*EXP(LN((F26-D26)/(E27-F26))+(1/2)*(LN((1-E25)/E25))^-1*LN(((D27-D26)/(E27-D27))/((E26-D26)/(E27-E26)))*LN(D51/(1-D51))+((1-2*E25)*(LN((1-E25)/E25)))^-1*LN((((D27-D26)/(E27-D27))*((E26-D26)/(E27-E26)))/((F26-D26)/(E27-F26))^2)*(D51-0.5)*LN(D51/(1-D51))))/(1+EXP(LN((F26-D26)/(E27-F26))+(1/2)*(LN((1-E25)/E25))^-1*LN(((D27-D26)/(E27-D27))/((E26-D26)/(E27-E26)))*LN(D51/(1-D51))+((1-2*E25)*(LN((1-E25)/E25)))^-1*LN((((D27-D26)/(E27-D27))*((E26-D26)/(E27-E26)))/((F26-D26)/(E27-F26))^2)*(D51-0.5)*LN(D51/(1-D51)))),NA())))))</f>
        <v>20.607998646428584</v>
      </c>
      <c r="F51" s="49">
        <f>IF(F27&lt;&gt;"",NA(),IF(F25="u",((1/2)*(LN((1-E25)/E25))^-1*(D27-E26)/(D51*(1-D51))+((1-2*E25)*(LN((1-E25)/E25)))^-1*(1-2*(F26-E26)/(D27-E26))*(D27-E26)*((D51-0.5)/(D51*(1-D51))+LN(D51/(1-D51))))^(-1),IF(F25="sl",((1/2)*(LN((1-E25)/E25))^-1*LN((D27-D26)/(E26-D26))/(D51*(1-D51))+((1-2*E25)*(LN((1-E25)/E25)))^-1*LN(((D27-D26)*(E26-D26))/(F26-D26)^2)*((D51-0.5)/(D51*(1-D51))+LN(D51/(1-D51))))^(-1)*EXP(-(LN(F26-D26)+(1/2)*(LN((1-E25)/E25))^-1*LN((D27-D26)/(E26-D26))*LN(D51/(1-D51))+((1-2*E25)*(LN((1-E25)/E25)))^-1*LN(((D27-D26)*(E26-D26))/(F26-D26)^2)*(D51-0.5)*LN(D51/(1-D51)))),IF(F25="su",(-(1/2)*(LN((1-E25)/E25))^-1*LN((E27-D27)/(E27-E26))/(D51*(1-D51))-((1-2*E25)*(LN((1-E25)/E25)))^-1*LN(((E27-D27)*(E27-E26))/(E27-F26)^2)*((D51-0.5)/(D51*(1-D51))+LN(D51/(1-D51))))^(-1)*EXP((-LN(E27-F26)-(1/2)*(LN((1-E25)/E25))^-1*LN((E27-D27)/(E27-E26))*LN(D51/(1-D51))-((1-2*E25)*(LN((1-E25)/E25)))^-1*LN(((E27-D27)*(E27-E26))/(E27-F26)^2)*(D51-0.5)*LN(D51/(1-D51)))),IF(F25="b",((1/2)*(LN((1-E25)/E25))^-1*LN(((D27-D26)/(E27-D27))/((E26-D26)/(E27-E26)))/(D51*(1-D51))+((1-2*E25)*(LN((1-E25)/E25)))^-1*LN((((D27-D26)/(E27-D27))*((E26-D26)/(E27-E26)))/((F26-D26)/(E27-F26))^2)*((D51-0.5)/(D51*(1-D51))+LN(D51/(1-D51))))^(-1)*(1+EXP(LN((F26-D26)/(E27-F26))+(1/2)*(LN((1-E25)/E25))^-1*LN(((D27-D26)/(E27-D27))/((E26-D26)/(E27-E26)))*LN(D51/(1-D51))+((1-2*E25)*(LN((1-E25)/E25)))^-1*LN((((D27-D26)/(E27-D27))*((E26-D26)/(E27-E26)))/((F26-D26)/(E27-F26))^2)*(D51-0.5)*LN(D51/(1-D51))))^2/((E27-D26)*EXP(LN((F26-D26)/(E27-F26))+(1/2)*(LN((1-E25)/E25))^-1*LN(((D27-D26)/(E27-D27))/((E26-D26)/(E27-E26)))*LN(D51/(1-D51))+((1-2*E25)*(LN((1-E25)/E25)))^-1*LN((((D27-D26)/(E27-D27))*((E26-D26)/(E27-E26)))/((F26-D26)/(E27-F26))^2)*(D51-0.5)*LN(D51/(1-D51)))),NA())))))</f>
        <v>1.7117657776039557E-2</v>
      </c>
      <c r="H51" s="72">
        <v>15</v>
      </c>
      <c r="I51" s="69">
        <f t="shared" si="0"/>
        <v>9.5198095181512095</v>
      </c>
      <c r="J51" s="70">
        <f t="shared" si="1"/>
        <v>5</v>
      </c>
      <c r="K51" s="71">
        <f t="shared" si="2"/>
        <v>3.0313349753344904E-3</v>
      </c>
    </row>
    <row r="52" spans="4:11" x14ac:dyDescent="0.35">
      <c r="D52" s="47">
        <f>IF(F27&lt;&gt;"",NA(),(ROW()-ROW(D40))/100)</f>
        <v>0.12</v>
      </c>
      <c r="E52" s="48">
        <f>IF(F27&lt;&gt;"",NA(),IF(F25="u",F26+(1/2)*(LN((1-E25)/E25))^-1*(D27-E26)*LN(D52/(1-D52))+((1-2*E25)*(LN((1-E25)/E25)))^-1*(1-2*(F26-E26)/(D27-E26))*(D27-E26)*(D52-0.5)*LN(D52/(1-D52)),IF(F25="sl",D26+EXP(LN(F26-D26)+(1/2)*(LN((1-E25)/E25))^-1*LN((D27-D26)/(E26-D26))*LN(D52/(1-D52))+((1-2*E25)*(LN((1-E25)/E25)))^-1*LN(((D27-D26)*(E26-D26))/(F26-D26)^2)*(D52-0.5)*LN(D52/(1-D52))),IF(F25="su",E27-EXP(-(-LN(E27-F26)-(1/2)*(LN((1-E25)/E25))^-1*LN((E27-D27)/(E27-E26))*LN(D52/(1-D52))-((1-2*E25)*(LN((1-E25)/E25)))^-1*LN(((E27-D27)*(E27-E26))/(E27-F26)^2)*(D52-0.5)*LN(D52/(1-D52)))),IF(F25="b",(D26+E27*EXP(LN((F26-D26)/(E27-F26))+(1/2)*(LN((1-E25)/E25))^-1*LN(((D27-D26)/(E27-D27))/((E26-D26)/(E27-E26)))*LN(D52/(1-D52))+((1-2*E25)*(LN((1-E25)/E25)))^-1*LN((((D27-D26)/(E27-D27))*((E26-D26)/(E27-E26)))/((F26-D26)/(E27-F26))^2)*(D52-0.5)*LN(D52/(1-D52))))/(1+EXP(LN((F26-D26)/(E27-F26))+(1/2)*(LN((1-E25)/E25))^-1*LN(((D27-D26)/(E27-D27))/((E26-D26)/(E27-E26)))*LN(D52/(1-D52))+((1-2*E25)*(LN((1-E25)/E25)))^-1*LN((((D27-D26)/(E27-D27))*((E26-D26)/(E27-E26)))/((F26-D26)/(E27-F26))^2)*(D52-0.5)*LN(D52/(1-D52)))),NA())))))</f>
        <v>21.171390796856084</v>
      </c>
      <c r="F52" s="49">
        <f>IF(F27&lt;&gt;"",NA(),IF(F25="u",((1/2)*(LN((1-E25)/E25))^-1*(D27-E26)/(D52*(1-D52))+((1-2*E25)*(LN((1-E25)/E25)))^-1*(1-2*(F26-E26)/(D27-E26))*(D27-E26)*((D52-0.5)/(D52*(1-D52))+LN(D52/(1-D52))))^(-1),IF(F25="sl",((1/2)*(LN((1-E25)/E25))^-1*LN((D27-D26)/(E26-D26))/(D52*(1-D52))+((1-2*E25)*(LN((1-E25)/E25)))^-1*LN(((D27-D26)*(E26-D26))/(F26-D26)^2)*((D52-0.5)/(D52*(1-D52))+LN(D52/(1-D52))))^(-1)*EXP(-(LN(F26-D26)+(1/2)*(LN((1-E25)/E25))^-1*LN((D27-D26)/(E26-D26))*LN(D52/(1-D52))+((1-2*E25)*(LN((1-E25)/E25)))^-1*LN(((D27-D26)*(E26-D26))/(F26-D26)^2)*(D52-0.5)*LN(D52/(1-D52)))),IF(F25="su",(-(1/2)*(LN((1-E25)/E25))^-1*LN((E27-D27)/(E27-E26))/(D52*(1-D52))-((1-2*E25)*(LN((1-E25)/E25)))^-1*LN(((E27-D27)*(E27-E26))/(E27-F26)^2)*((D52-0.5)/(D52*(1-D52))+LN(D52/(1-D52))))^(-1)*EXP((-LN(E27-F26)-(1/2)*(LN((1-E25)/E25))^-1*LN((E27-D27)/(E27-E26))*LN(D52/(1-D52))-((1-2*E25)*(LN((1-E25)/E25)))^-1*LN(((E27-D27)*(E27-E26))/(E27-F26)^2)*(D52-0.5)*LN(D52/(1-D52)))),IF(F25="b",((1/2)*(LN((1-E25)/E25))^-1*LN(((D27-D26)/(E27-D27))/((E26-D26)/(E27-E26)))/(D52*(1-D52))+((1-2*E25)*(LN((1-E25)/E25)))^-1*LN((((D27-D26)/(E27-D27))*((E26-D26)/(E27-E26)))/((F26-D26)/(E27-F26))^2)*((D52-0.5)/(D52*(1-D52))+LN(D52/(1-D52))))^(-1)*(1+EXP(LN((F26-D26)/(E27-F26))+(1/2)*(LN((1-E25)/E25))^-1*LN(((D27-D26)/(E27-D27))/((E26-D26)/(E27-E26)))*LN(D52/(1-D52))+((1-2*E25)*(LN((1-E25)/E25)))^-1*LN((((D27-D26)/(E27-D27))*((E26-D26)/(E27-E26)))/((F26-D26)/(E27-F26))^2)*(D52-0.5)*LN(D52/(1-D52))))^2/((E27-D26)*EXP(LN((F26-D26)/(E27-F26))+(1/2)*(LN((1-E25)/E25))^-1*LN(((D27-D26)/(E27-D27))/((E26-D26)/(E27-E26)))*LN(D52/(1-D52))+((1-2*E25)*(LN((1-E25)/E25)))^-1*LN((((D27-D26)/(E27-D27))*((E26-D26)/(E27-E26)))/((F26-D26)/(E27-F26))^2)*(D52-0.5)*LN(D52/(1-D52)))),NA())))))</f>
        <v>1.8385662368828659E-2</v>
      </c>
      <c r="H52" s="72">
        <v>16</v>
      </c>
      <c r="I52" s="69">
        <f t="shared" si="0"/>
        <v>10.789869948094294</v>
      </c>
      <c r="J52" s="70">
        <f t="shared" si="1"/>
        <v>6</v>
      </c>
      <c r="K52" s="71">
        <f t="shared" si="2"/>
        <v>3.7012544386450935E-3</v>
      </c>
    </row>
    <row r="53" spans="4:11" x14ac:dyDescent="0.35">
      <c r="D53" s="47">
        <f>IF(F27&lt;&gt;"",NA(),(ROW()-ROW(D40))/100)</f>
        <v>0.13</v>
      </c>
      <c r="E53" s="48">
        <f>IF(F27&lt;&gt;"",NA(),IF(F25="u",F26+(1/2)*(LN((1-E25)/E25))^-1*(D27-E26)*LN(D53/(1-D53))+((1-2*E25)*(LN((1-E25)/E25)))^-1*(1-2*(F26-E26)/(D27-E26))*(D27-E26)*(D53-0.5)*LN(D53/(1-D53)),IF(F25="sl",D26+EXP(LN(F26-D26)+(1/2)*(LN((1-E25)/E25))^-1*LN((D27-D26)/(E26-D26))*LN(D53/(1-D53))+((1-2*E25)*(LN((1-E25)/E25)))^-1*LN(((D27-D26)*(E26-D26))/(F26-D26)^2)*(D53-0.5)*LN(D53/(1-D53))),IF(F25="su",E27-EXP(-(-LN(E27-F26)-(1/2)*(LN((1-E25)/E25))^-1*LN((E27-D27)/(E27-E26))*LN(D53/(1-D53))-((1-2*E25)*(LN((1-E25)/E25)))^-1*LN(((E27-D27)*(E27-E26))/(E27-F26)^2)*(D53-0.5)*LN(D53/(1-D53)))),IF(F25="b",(D26+E27*EXP(LN((F26-D26)/(E27-F26))+(1/2)*(LN((1-E25)/E25))^-1*LN(((D27-D26)/(E27-D27))/((E26-D26)/(E27-E26)))*LN(D53/(1-D53))+((1-2*E25)*(LN((1-E25)/E25)))^-1*LN((((D27-D26)/(E27-D27))*((E26-D26)/(E27-E26)))/((F26-D26)/(E27-F26))^2)*(D53-0.5)*LN(D53/(1-D53))))/(1+EXP(LN((F26-D26)/(E27-F26))+(1/2)*(LN((1-E25)/E25))^-1*LN(((D27-D26)/(E27-D27))/((E26-D26)/(E27-E26)))*LN(D53/(1-D53))+((1-2*E25)*(LN((1-E25)/E25)))^-1*LN((((D27-D26)/(E27-D27))*((E26-D26)/(E27-E26)))/((F26-D26)/(E27-F26))^2)*(D53-0.5)*LN(D53/(1-D53)))),NA())))))</f>
        <v>21.698109399096378</v>
      </c>
      <c r="F53" s="49">
        <f>IF(F27&lt;&gt;"",NA(),IF(F25="u",((1/2)*(LN((1-E25)/E25))^-1*(D27-E26)/(D53*(1-D53))+((1-2*E25)*(LN((1-E25)/E25)))^-1*(1-2*(F26-E26)/(D27-E26))*(D27-E26)*((D53-0.5)/(D53*(1-D53))+LN(D53/(1-D53))))^(-1),IF(F25="sl",((1/2)*(LN((1-E25)/E25))^-1*LN((D27-D26)/(E26-D26))/(D53*(1-D53))+((1-2*E25)*(LN((1-E25)/E25)))^-1*LN(((D27-D26)*(E26-D26))/(F26-D26)^2)*((D53-0.5)/(D53*(1-D53))+LN(D53/(1-D53))))^(-1)*EXP(-(LN(F26-D26)+(1/2)*(LN((1-E25)/E25))^-1*LN((D27-D26)/(E26-D26))*LN(D53/(1-D53))+((1-2*E25)*(LN((1-E25)/E25)))^-1*LN(((D27-D26)*(E26-D26))/(F26-D26)^2)*(D53-0.5)*LN(D53/(1-D53)))),IF(F25="su",(-(1/2)*(LN((1-E25)/E25))^-1*LN((E27-D27)/(E27-E26))/(D53*(1-D53))-((1-2*E25)*(LN((1-E25)/E25)))^-1*LN(((E27-D27)*(E27-E26))/(E27-F26)^2)*((D53-0.5)/(D53*(1-D53))+LN(D53/(1-D53))))^(-1)*EXP((-LN(E27-F26)-(1/2)*(LN((1-E25)/E25))^-1*LN((E27-D27)/(E27-E26))*LN(D53/(1-D53))-((1-2*E25)*(LN((1-E25)/E25)))^-1*LN(((E27-D27)*(E27-E26))/(E27-F26)^2)*(D53-0.5)*LN(D53/(1-D53)))),IF(F25="b",((1/2)*(LN((1-E25)/E25))^-1*LN(((D27-D26)/(E27-D27))/((E26-D26)/(E27-E26)))/(D53*(1-D53))+((1-2*E25)*(LN((1-E25)/E25)))^-1*LN((((D27-D26)/(E27-D27))*((E26-D26)/(E27-E26)))/((F26-D26)/(E27-F26))^2)*((D53-0.5)/(D53*(1-D53))+LN(D53/(1-D53))))^(-1)*(1+EXP(LN((F26-D26)/(E27-F26))+(1/2)*(LN((1-E25)/E25))^-1*LN(((D27-D26)/(E27-D27))/((E26-D26)/(E27-E26)))*LN(D53/(1-D53))+((1-2*E25)*(LN((1-E25)/E25)))^-1*LN((((D27-D26)/(E27-D27))*((E26-D26)/(E27-E26)))/((F26-D26)/(E27-F26))^2)*(D53-0.5)*LN(D53/(1-D53))))^2/((E27-D26)*EXP(LN((F26-D26)/(E27-F26))+(1/2)*(LN((1-E25)/E25))^-1*LN(((D27-D26)/(E27-D27))/((E26-D26)/(E27-E26)))*LN(D53/(1-D53))+((1-2*E25)*(LN((1-E25)/E25)))^-1*LN((((D27-D26)/(E27-D27))*((E26-D26)/(E27-E26)))/((F26-D26)/(E27-F26))^2)*(D53-0.5)*LN(D53/(1-D53)))),NA())))))</f>
        <v>1.9586657477901056E-2</v>
      </c>
      <c r="H53" s="72">
        <v>17</v>
      </c>
      <c r="I53" s="69">
        <f t="shared" si="0"/>
        <v>12.059930378037379</v>
      </c>
      <c r="J53" s="70">
        <f t="shared" si="1"/>
        <v>6</v>
      </c>
      <c r="K53" s="71">
        <f t="shared" si="2"/>
        <v>4.5669975515166931E-3</v>
      </c>
    </row>
    <row r="54" spans="4:11" x14ac:dyDescent="0.35">
      <c r="D54" s="47">
        <f>IF(F27&lt;&gt;"",NA(),(ROW()-ROW(D40))/100)</f>
        <v>0.14000000000000001</v>
      </c>
      <c r="E54" s="48">
        <f>IF(F27&lt;&gt;"",NA(),IF(F25="u",F26+(1/2)*(LN((1-E25)/E25))^-1*(D27-E26)*LN(D54/(1-D54))+((1-2*E25)*(LN((1-E25)/E25)))^-1*(1-2*(F26-E26)/(D27-E26))*(D27-E26)*(D54-0.5)*LN(D54/(1-D54)),IF(F25="sl",D26+EXP(LN(F26-D26)+(1/2)*(LN((1-E25)/E25))^-1*LN((D27-D26)/(E26-D26))*LN(D54/(1-D54))+((1-2*E25)*(LN((1-E25)/E25)))^-1*LN(((D27-D26)*(E26-D26))/(F26-D26)^2)*(D54-0.5)*LN(D54/(1-D54))),IF(F25="su",E27-EXP(-(-LN(E27-F26)-(1/2)*(LN((1-E25)/E25))^-1*LN((E27-D27)/(E27-E26))*LN(D54/(1-D54))-((1-2*E25)*(LN((1-E25)/E25)))^-1*LN(((E27-D27)*(E27-E26))/(E27-F26)^2)*(D54-0.5)*LN(D54/(1-D54)))),IF(F25="b",(D26+E27*EXP(LN((F26-D26)/(E27-F26))+(1/2)*(LN((1-E25)/E25))^-1*LN(((D27-D26)/(E27-D27))/((E26-D26)/(E27-E26)))*LN(D54/(1-D54))+((1-2*E25)*(LN((1-E25)/E25)))^-1*LN((((D27-D26)/(E27-D27))*((E26-D26)/(E27-E26)))/((F26-D26)/(E27-F26))^2)*(D54-0.5)*LN(D54/(1-D54))))/(1+EXP(LN((F26-D26)/(E27-F26))+(1/2)*(LN((1-E25)/E25))^-1*LN(((D27-D26)/(E27-D27))/((E26-D26)/(E27-E26)))*LN(D54/(1-D54))+((1-2*E25)*(LN((1-E25)/E25)))^-1*LN((((D27-D26)/(E27-D27))*((E26-D26)/(E27-E26)))/((F26-D26)/(E27-F26))^2)*(D54-0.5)*LN(D54/(1-D54)))),NA())))))</f>
        <v>22.194301951144009</v>
      </c>
      <c r="F54" s="49">
        <f>IF(F27&lt;&gt;"",NA(),IF(F25="u",((1/2)*(LN((1-E25)/E25))^-1*(D27-E26)/(D54*(1-D54))+((1-2*E25)*(LN((1-E25)/E25)))^-1*(1-2*(F26-E26)/(D27-E26))*(D27-E26)*((D54-0.5)/(D54*(1-D54))+LN(D54/(1-D54))))^(-1),IF(F25="sl",((1/2)*(LN((1-E25)/E25))^-1*LN((D27-D26)/(E26-D26))/(D54*(1-D54))+((1-2*E25)*(LN((1-E25)/E25)))^-1*LN(((D27-D26)*(E26-D26))/(F26-D26)^2)*((D54-0.5)/(D54*(1-D54))+LN(D54/(1-D54))))^(-1)*EXP(-(LN(F26-D26)+(1/2)*(LN((1-E25)/E25))^-1*LN((D27-D26)/(E26-D26))*LN(D54/(1-D54))+((1-2*E25)*(LN((1-E25)/E25)))^-1*LN(((D27-D26)*(E26-D26))/(F26-D26)^2)*(D54-0.5)*LN(D54/(1-D54)))),IF(F25="su",(-(1/2)*(LN((1-E25)/E25))^-1*LN((E27-D27)/(E27-E26))/(D54*(1-D54))-((1-2*E25)*(LN((1-E25)/E25)))^-1*LN(((E27-D27)*(E27-E26))/(E27-F26)^2)*((D54-0.5)/(D54*(1-D54))+LN(D54/(1-D54))))^(-1)*EXP((-LN(E27-F26)-(1/2)*(LN((1-E25)/E25))^-1*LN((E27-D27)/(E27-E26))*LN(D54/(1-D54))-((1-2*E25)*(LN((1-E25)/E25)))^-1*LN(((E27-D27)*(E27-E26))/(E27-F26)^2)*(D54-0.5)*LN(D54/(1-D54)))),IF(F25="b",((1/2)*(LN((1-E25)/E25))^-1*LN(((D27-D26)/(E27-D27))/((E26-D26)/(E27-E26)))/(D54*(1-D54))+((1-2*E25)*(LN((1-E25)/E25)))^-1*LN((((D27-D26)/(E27-D27))*((E26-D26)/(E27-E26)))/((F26-D26)/(E27-F26))^2)*((D54-0.5)/(D54*(1-D54))+LN(D54/(1-D54))))^(-1)*(1+EXP(LN((F26-D26)/(E27-F26))+(1/2)*(LN((1-E25)/E25))^-1*LN(((D27-D26)/(E27-D27))/((E26-D26)/(E27-E26)))*LN(D54/(1-D54))+((1-2*E25)*(LN((1-E25)/E25)))^-1*LN((((D27-D26)/(E27-D27))*((E26-D26)/(E27-E26)))/((F26-D26)/(E27-F26))^2)*(D54-0.5)*LN(D54/(1-D54))))^2/((E27-D26)*EXP(LN((F26-D26)/(E27-F26))+(1/2)*(LN((1-E25)/E25))^-1*LN(((D27-D26)/(E27-D27))/((E26-D26)/(E27-E26)))*LN(D54/(1-D54))+((1-2*E25)*(LN((1-E25)/E25)))^-1*LN((((D27-D26)/(E27-D27))*((E26-D26)/(E27-E26)))/((F26-D26)/(E27-F26))^2)*(D54-0.5)*LN(D54/(1-D54)))),NA())))))</f>
        <v>2.0719460785463224E-2</v>
      </c>
      <c r="H54" s="72">
        <v>18</v>
      </c>
      <c r="I54" s="69">
        <f t="shared" si="0"/>
        <v>13.329990807980463</v>
      </c>
      <c r="J54" s="70">
        <f t="shared" si="1"/>
        <v>7</v>
      </c>
      <c r="K54" s="71">
        <f t="shared" si="2"/>
        <v>5.618357714263545E-3</v>
      </c>
    </row>
    <row r="55" spans="4:11" x14ac:dyDescent="0.35">
      <c r="D55" s="47">
        <f>IF(F27&lt;&gt;"",NA(),(ROW()-ROW(D40))/100)</f>
        <v>0.15</v>
      </c>
      <c r="E55" s="48">
        <f>IF(F27&lt;&gt;"",NA(),IF(F25="u",F26+(1/2)*(LN((1-E25)/E25))^-1*(D27-E26)*LN(D55/(1-D55))+((1-2*E25)*(LN((1-E25)/E25)))^-1*(1-2*(F26-E26)/(D27-E26))*(D27-E26)*(D55-0.5)*LN(D55/(1-D55)),IF(F25="sl",D26+EXP(LN(F26-D26)+(1/2)*(LN((1-E25)/E25))^-1*LN((D27-D26)/(E26-D26))*LN(D55/(1-D55))+((1-2*E25)*(LN((1-E25)/E25)))^-1*LN(((D27-D26)*(E26-D26))/(F26-D26)^2)*(D55-0.5)*LN(D55/(1-D55))),IF(F25="su",E27-EXP(-(-LN(E27-F26)-(1/2)*(LN((1-E25)/E25))^-1*LN((E27-D27)/(E27-E26))*LN(D55/(1-D55))-((1-2*E25)*(LN((1-E25)/E25)))^-1*LN(((E27-D27)*(E27-E26))/(E27-F26)^2)*(D55-0.5)*LN(D55/(1-D55)))),IF(F25="b",(D26+E27*EXP(LN((F26-D26)/(E27-F26))+(1/2)*(LN((1-E25)/E25))^-1*LN(((D27-D26)/(E27-D27))/((E26-D26)/(E27-E26)))*LN(D55/(1-D55))+((1-2*E25)*(LN((1-E25)/E25)))^-1*LN((((D27-D26)/(E27-D27))*((E26-D26)/(E27-E26)))/((F26-D26)/(E27-F26))^2)*(D55-0.5)*LN(D55/(1-D55))))/(1+EXP(LN((F26-D26)/(E27-F26))+(1/2)*(LN((1-E25)/E25))^-1*LN(((D27-D26)/(E27-D27))/((E26-D26)/(E27-E26)))*LN(D55/(1-D55))+((1-2*E25)*(LN((1-E25)/E25)))^-1*LN((((D27-D26)/(E27-D27))*((E26-D26)/(E27-E26)))/((F26-D26)/(E27-F26))^2)*(D55-0.5)*LN(D55/(1-D55)))),NA())))))</f>
        <v>22.664828725292452</v>
      </c>
      <c r="F55" s="49">
        <f>IF(F27&lt;&gt;"",NA(),IF(F25="u",((1/2)*(LN((1-E25)/E25))^-1*(D27-E26)/(D55*(1-D55))+((1-2*E25)*(LN((1-E25)/E25)))^-1*(1-2*(F26-E26)/(D27-E26))*(D27-E26)*((D55-0.5)/(D55*(1-D55))+LN(D55/(1-D55))))^(-1),IF(F25="sl",((1/2)*(LN((1-E25)/E25))^-1*LN((D27-D26)/(E26-D26))/(D55*(1-D55))+((1-2*E25)*(LN((1-E25)/E25)))^-1*LN(((D27-D26)*(E26-D26))/(F26-D26)^2)*((D55-0.5)/(D55*(1-D55))+LN(D55/(1-D55))))^(-1)*EXP(-(LN(F26-D26)+(1/2)*(LN((1-E25)/E25))^-1*LN((D27-D26)/(E26-D26))*LN(D55/(1-D55))+((1-2*E25)*(LN((1-E25)/E25)))^-1*LN(((D27-D26)*(E26-D26))/(F26-D26)^2)*(D55-0.5)*LN(D55/(1-D55)))),IF(F25="su",(-(1/2)*(LN((1-E25)/E25))^-1*LN((E27-D27)/(E27-E26))/(D55*(1-D55))-((1-2*E25)*(LN((1-E25)/E25)))^-1*LN(((E27-D27)*(E27-E26))/(E27-F26)^2)*((D55-0.5)/(D55*(1-D55))+LN(D55/(1-D55))))^(-1)*EXP((-LN(E27-F26)-(1/2)*(LN((1-E25)/E25))^-1*LN((E27-D27)/(E27-E26))*LN(D55/(1-D55))-((1-2*E25)*(LN((1-E25)/E25)))^-1*LN(((E27-D27)*(E27-E26))/(E27-F26)^2)*(D55-0.5)*LN(D55/(1-D55)))),IF(F25="b",((1/2)*(LN((1-E25)/E25))^-1*LN(((D27-D26)/(E27-D27))/((E26-D26)/(E27-E26)))/(D55*(1-D55))+((1-2*E25)*(LN((1-E25)/E25)))^-1*LN((((D27-D26)/(E27-D27))*((E26-D26)/(E27-E26)))/((F26-D26)/(E27-F26))^2)*((D55-0.5)/(D55*(1-D55))+LN(D55/(1-D55))))^(-1)*(1+EXP(LN((F26-D26)/(E27-F26))+(1/2)*(LN((1-E25)/E25))^-1*LN(((D27-D26)/(E27-D27))/((E26-D26)/(E27-E26)))*LN(D55/(1-D55))+((1-2*E25)*(LN((1-E25)/E25)))^-1*LN((((D27-D26)/(E27-D27))*((E26-D26)/(E27-E26)))/((F26-D26)/(E27-F26))^2)*(D55-0.5)*LN(D55/(1-D55))))^2/((E27-D26)*EXP(LN((F26-D26)/(E27-F26))+(1/2)*(LN((1-E25)/E25))^-1*LN(((D27-D26)/(E27-D27))/((E26-D26)/(E27-E26)))*LN(D55/(1-D55))+((1-2*E25)*(LN((1-E25)/E25)))^-1*LN((((D27-D26)/(E27-D27))*((E26-D26)/(E27-E26)))/((F26-D26)/(E27-F26))^2)*(D55-0.5)*LN(D55/(1-D55)))),NA())))))</f>
        <v>2.178349043125731E-2</v>
      </c>
      <c r="H55" s="72">
        <v>19</v>
      </c>
      <c r="I55" s="69">
        <f t="shared" si="0"/>
        <v>14.600051237923548</v>
      </c>
      <c r="J55" s="70">
        <f t="shared" si="1"/>
        <v>8</v>
      </c>
      <c r="K55" s="71">
        <f t="shared" si="2"/>
        <v>6.8869618646646494E-3</v>
      </c>
    </row>
    <row r="56" spans="4:11" x14ac:dyDescent="0.35">
      <c r="D56" s="47">
        <f>IF(F27&lt;&gt;"",NA(),(ROW()-ROW(D40))/100)</f>
        <v>0.16</v>
      </c>
      <c r="E56" s="48">
        <f>IF(F27&lt;&gt;"",NA(),IF(F25="u",F26+(1/2)*(LN((1-E25)/E25))^-1*(D27-E26)*LN(D56/(1-D56))+((1-2*E25)*(LN((1-E25)/E25)))^-1*(1-2*(F26-E26)/(D27-E26))*(D27-E26)*(D56-0.5)*LN(D56/(1-D56)),IF(F25="sl",D26+EXP(LN(F26-D26)+(1/2)*(LN((1-E25)/E25))^-1*LN((D27-D26)/(E26-D26))*LN(D56/(1-D56))+((1-2*E25)*(LN((1-E25)/E25)))^-1*LN(((D27-D26)*(E26-D26))/(F26-D26)^2)*(D56-0.5)*LN(D56/(1-D56))),IF(F25="su",E27-EXP(-(-LN(E27-F26)-(1/2)*(LN((1-E25)/E25))^-1*LN((E27-D27)/(E27-E26))*LN(D56/(1-D56))-((1-2*E25)*(LN((1-E25)/E25)))^-1*LN(((E27-D27)*(E27-E26))/(E27-F26)^2)*(D56-0.5)*LN(D56/(1-D56)))),IF(F25="b",(D26+E27*EXP(LN((F26-D26)/(E27-F26))+(1/2)*(LN((1-E25)/E25))^-1*LN(((D27-D26)/(E27-D27))/((E26-D26)/(E27-E26)))*LN(D56/(1-D56))+((1-2*E25)*(LN((1-E25)/E25)))^-1*LN((((D27-D26)/(E27-D27))*((E26-D26)/(E27-E26)))/((F26-D26)/(E27-F26))^2)*(D56-0.5)*LN(D56/(1-D56))))/(1+EXP(LN((F26-D26)/(E27-F26))+(1/2)*(LN((1-E25)/E25))^-1*LN(((D27-D26)/(E27-D27))/((E26-D26)/(E27-E26)))*LN(D56/(1-D56))+((1-2*E25)*(LN((1-E25)/E25)))^-1*LN((((D27-D26)/(E27-D27))*((E26-D26)/(E27-E26)))/((F26-D26)/(E27-F26))^2)*(D56-0.5)*LN(D56/(1-D56)))),NA())))))</f>
        <v>23.113599094104259</v>
      </c>
      <c r="F56" s="49">
        <f>IF(F27&lt;&gt;"",NA(),IF(F25="u",((1/2)*(LN((1-E25)/E25))^-1*(D27-E26)/(D56*(1-D56))+((1-2*E25)*(LN((1-E25)/E25)))^-1*(1-2*(F26-E26)/(D27-E26))*(D27-E26)*((D56-0.5)/(D56*(1-D56))+LN(D56/(1-D56))))^(-1),IF(F25="sl",((1/2)*(LN((1-E25)/E25))^-1*LN((D27-D26)/(E26-D26))/(D56*(1-D56))+((1-2*E25)*(LN((1-E25)/E25)))^-1*LN(((D27-D26)*(E26-D26))/(F26-D26)^2)*((D56-0.5)/(D56*(1-D56))+LN(D56/(1-D56))))^(-1)*EXP(-(LN(F26-D26)+(1/2)*(LN((1-E25)/E25))^-1*LN((D27-D26)/(E26-D26))*LN(D56/(1-D56))+((1-2*E25)*(LN((1-E25)/E25)))^-1*LN(((D27-D26)*(E26-D26))/(F26-D26)^2)*(D56-0.5)*LN(D56/(1-D56)))),IF(F25="su",(-(1/2)*(LN((1-E25)/E25))^-1*LN((E27-D27)/(E27-E26))/(D56*(1-D56))-((1-2*E25)*(LN((1-E25)/E25)))^-1*LN(((E27-D27)*(E27-E26))/(E27-F26)^2)*((D56-0.5)/(D56*(1-D56))+LN(D56/(1-D56))))^(-1)*EXP((-LN(E27-F26)-(1/2)*(LN((1-E25)/E25))^-1*LN((E27-D27)/(E27-E26))*LN(D56/(1-D56))-((1-2*E25)*(LN((1-E25)/E25)))^-1*LN(((E27-D27)*(E27-E26))/(E27-F26)^2)*(D56-0.5)*LN(D56/(1-D56)))),IF(F25="b",((1/2)*(LN((1-E25)/E25))^-1*LN(((D27-D26)/(E27-D27))/((E26-D26)/(E27-E26)))/(D56*(1-D56))+((1-2*E25)*(LN((1-E25)/E25)))^-1*LN((((D27-D26)/(E27-D27))*((E26-D26)/(E27-E26)))/((F26-D26)/(E27-F26))^2)*((D56-0.5)/(D56*(1-D56))+LN(D56/(1-D56))))^(-1)*(1+EXP(LN((F26-D26)/(E27-F26))+(1/2)*(LN((1-E25)/E25))^-1*LN(((D27-D26)/(E27-D27))/((E26-D26)/(E27-E26)))*LN(D56/(1-D56))+((1-2*E25)*(LN((1-E25)/E25)))^-1*LN((((D27-D26)/(E27-D27))*((E26-D26)/(E27-E26)))/((F26-D26)/(E27-F26))^2)*(D56-0.5)*LN(D56/(1-D56))))^2/((E27-D26)*EXP(LN((F26-D26)/(E27-F26))+(1/2)*(LN((1-E25)/E25))^-1*LN(((D27-D26)/(E27-D27))/((E26-D26)/(E27-E26)))*LN(D56/(1-D56))+((1-2*E25)*(LN((1-E25)/E25)))^-1*LN((((D27-D26)/(E27-D27))*((E26-D26)/(E27-E26)))/((F26-D26)/(E27-F26))^2)*(D56-0.5)*LN(D56/(1-D56)))),NA())))))</f>
        <v>2.2778691392181312E-2</v>
      </c>
      <c r="H56" s="72">
        <v>20</v>
      </c>
      <c r="I56" s="69">
        <f t="shared" si="0"/>
        <v>15.870111667866633</v>
      </c>
      <c r="J56" s="70">
        <f t="shared" si="1"/>
        <v>9</v>
      </c>
      <c r="K56" s="71">
        <f t="shared" si="2"/>
        <v>8.4591614151968194E-3</v>
      </c>
    </row>
    <row r="57" spans="4:11" x14ac:dyDescent="0.35">
      <c r="D57" s="47">
        <f>IF(F27&lt;&gt;"",NA(),(ROW()-ROW(D40))/100)</f>
        <v>0.17</v>
      </c>
      <c r="E57" s="48">
        <f>IF(F27&lt;&gt;"",NA(),IF(F25="u",F26+(1/2)*(LN((1-E25)/E25))^-1*(D27-E26)*LN(D57/(1-D57))+((1-2*E25)*(LN((1-E25)/E25)))^-1*(1-2*(F26-E26)/(D27-E26))*(D27-E26)*(D57-0.5)*LN(D57/(1-D57)),IF(F25="sl",D26+EXP(LN(F26-D26)+(1/2)*(LN((1-E25)/E25))^-1*LN((D27-D26)/(E26-D26))*LN(D57/(1-D57))+((1-2*E25)*(LN((1-E25)/E25)))^-1*LN(((D27-D26)*(E26-D26))/(F26-D26)^2)*(D57-0.5)*LN(D57/(1-D57))),IF(F25="su",E27-EXP(-(-LN(E27-F26)-(1/2)*(LN((1-E25)/E25))^-1*LN((E27-D27)/(E27-E26))*LN(D57/(1-D57))-((1-2*E25)*(LN((1-E25)/E25)))^-1*LN(((E27-D27)*(E27-E26))/(E27-F26)^2)*(D57-0.5)*LN(D57/(1-D57)))),IF(F25="b",(D26+E27*EXP(LN((F26-D26)/(E27-F26))+(1/2)*(LN((1-E25)/E25))^-1*LN(((D27-D26)/(E27-D27))/((E26-D26)/(E27-E26)))*LN(D57/(1-D57))+((1-2*E25)*(LN((1-E25)/E25)))^-1*LN((((D27-D26)/(E27-D27))*((E26-D26)/(E27-E26)))/((F26-D26)/(E27-F26))^2)*(D57-0.5)*LN(D57/(1-D57))))/(1+EXP(LN((F26-D26)/(E27-F26))+(1/2)*(LN((1-E25)/E25))^-1*LN(((D27-D26)/(E27-D27))/((E26-D26)/(E27-E26)))*LN(D57/(1-D57))+((1-2*E25)*(LN((1-E25)/E25)))^-1*LN((((D27-D26)/(E27-D27))*((E26-D26)/(E27-E26)))/((F26-D26)/(E27-F26))^2)*(D57-0.5)*LN(D57/(1-D57)))),NA())))))</f>
        <v>23.543805184267804</v>
      </c>
      <c r="F57" s="49">
        <f>IF(F27&lt;&gt;"",NA(),IF(F25="u",((1/2)*(LN((1-E25)/E25))^-1*(D27-E26)/(D57*(1-D57))+((1-2*E25)*(LN((1-E25)/E25)))^-1*(1-2*(F26-E26)/(D27-E26))*(D27-E26)*((D57-0.5)/(D57*(1-D57))+LN(D57/(1-D57))))^(-1),IF(F25="sl",((1/2)*(LN((1-E25)/E25))^-1*LN((D27-D26)/(E26-D26))/(D57*(1-D57))+((1-2*E25)*(LN((1-E25)/E25)))^-1*LN(((D27-D26)*(E26-D26))/(F26-D26)^2)*((D57-0.5)/(D57*(1-D57))+LN(D57/(1-D57))))^(-1)*EXP(-(LN(F26-D26)+(1/2)*(LN((1-E25)/E25))^-1*LN((D27-D26)/(E26-D26))*LN(D57/(1-D57))+((1-2*E25)*(LN((1-E25)/E25)))^-1*LN(((D27-D26)*(E26-D26))/(F26-D26)^2)*(D57-0.5)*LN(D57/(1-D57)))),IF(F25="su",(-(1/2)*(LN((1-E25)/E25))^-1*LN((E27-D27)/(E27-E26))/(D57*(1-D57))-((1-2*E25)*(LN((1-E25)/E25)))^-1*LN(((E27-D27)*(E27-E26))/(E27-F26)^2)*((D57-0.5)/(D57*(1-D57))+LN(D57/(1-D57))))^(-1)*EXP((-LN(E27-F26)-(1/2)*(LN((1-E25)/E25))^-1*LN((E27-D27)/(E27-E26))*LN(D57/(1-D57))-((1-2*E25)*(LN((1-E25)/E25)))^-1*LN(((E27-D27)*(E27-E26))/(E27-F26)^2)*(D57-0.5)*LN(D57/(1-D57)))),IF(F25="b",((1/2)*(LN((1-E25)/E25))^-1*LN(((D27-D26)/(E27-D27))/((E26-D26)/(E27-E26)))/(D57*(1-D57))+((1-2*E25)*(LN((1-E25)/E25)))^-1*LN((((D27-D26)/(E27-D27))*((E26-D26)/(E27-E26)))/((F26-D26)/(E27-F26))^2)*((D57-0.5)/(D57*(1-D57))+LN(D57/(1-D57))))^(-1)*(1+EXP(LN((F26-D26)/(E27-F26))+(1/2)*(LN((1-E25)/E25))^-1*LN(((D27-D26)/(E27-D27))/((E26-D26)/(E27-E26)))*LN(D57/(1-D57))+((1-2*E25)*(LN((1-E25)/E25)))^-1*LN((((D27-D26)/(E27-D27))*((E26-D26)/(E27-E26)))/((F26-D26)/(E27-F26))^2)*(D57-0.5)*LN(D57/(1-D57))))^2/((E27-D26)*EXP(LN((F26-D26)/(E27-F26))+(1/2)*(LN((1-E25)/E25))^-1*LN(((D27-D26)/(E27-D27))/((E26-D26)/(E27-E26)))*LN(D57/(1-D57))+((1-2*E25)*(LN((1-E25)/E25)))^-1*LN((((D27-D26)/(E27-D27))*((E26-D26)/(E27-E26)))/((F26-D26)/(E27-F26))^2)*(D57-0.5)*LN(D57/(1-D57)))),NA())))))</f>
        <v>2.370546666137676E-2</v>
      </c>
      <c r="H57" s="72">
        <v>21</v>
      </c>
      <c r="I57" s="69">
        <f t="shared" si="0"/>
        <v>17.140172097809717</v>
      </c>
      <c r="J57" s="70">
        <f t="shared" si="1"/>
        <v>10</v>
      </c>
      <c r="K57" s="71">
        <f t="shared" si="2"/>
        <v>1.0360394938930676E-2</v>
      </c>
    </row>
    <row r="58" spans="4:11" x14ac:dyDescent="0.35">
      <c r="D58" s="47">
        <f>IF(F27&lt;&gt;"",NA(),(ROW()-ROW(D40))/100)</f>
        <v>0.18</v>
      </c>
      <c r="E58" s="48">
        <f>IF(F27&lt;&gt;"",NA(),IF(F25="u",F26+(1/2)*(LN((1-E25)/E25))^-1*(D27-E26)*LN(D58/(1-D58))+((1-2*E25)*(LN((1-E25)/E25)))^-1*(1-2*(F26-E26)/(D27-E26))*(D27-E26)*(D58-0.5)*LN(D58/(1-D58)),IF(F25="sl",D26+EXP(LN(F26-D26)+(1/2)*(LN((1-E25)/E25))^-1*LN((D27-D26)/(E26-D26))*LN(D58/(1-D58))+((1-2*E25)*(LN((1-E25)/E25)))^-1*LN(((D27-D26)*(E26-D26))/(F26-D26)^2)*(D58-0.5)*LN(D58/(1-D58))),IF(F25="su",E27-EXP(-(-LN(E27-F26)-(1/2)*(LN((1-E25)/E25))^-1*LN((E27-D27)/(E27-E26))*LN(D58/(1-D58))-((1-2*E25)*(LN((1-E25)/E25)))^-1*LN(((E27-D27)*(E27-E26))/(E27-F26)^2)*(D58-0.5)*LN(D58/(1-D58)))),IF(F25="b",(D26+E27*EXP(LN((F26-D26)/(E27-F26))+(1/2)*(LN((1-E25)/E25))^-1*LN(((D27-D26)/(E27-D27))/((E26-D26)/(E27-E26)))*LN(D58/(1-D58))+((1-2*E25)*(LN((1-E25)/E25)))^-1*LN((((D27-D26)/(E27-D27))*((E26-D26)/(E27-E26)))/((F26-D26)/(E27-F26))^2)*(D58-0.5)*LN(D58/(1-D58))))/(1+EXP(LN((F26-D26)/(E27-F26))+(1/2)*(LN((1-E25)/E25))^-1*LN(((D27-D26)/(E27-D27))/((E26-D26)/(E27-E26)))*LN(D58/(1-D58))+((1-2*E25)*(LN((1-E25)/E25)))^-1*LN((((D27-D26)/(E27-D27))*((E26-D26)/(E27-E26)))/((F26-D26)/(E27-F26))^2)*(D58-0.5)*LN(D58/(1-D58)))),NA())))))</f>
        <v>23.95808827184036</v>
      </c>
      <c r="F58" s="49">
        <f>IF(F27&lt;&gt;"",NA(),IF(F25="u",((1/2)*(LN((1-E25)/E25))^-1*(D27-E26)/(D58*(1-D58))+((1-2*E25)*(LN((1-E25)/E25)))^-1*(1-2*(F26-E26)/(D27-E26))*(D27-E26)*((D58-0.5)/(D58*(1-D58))+LN(D58/(1-D58))))^(-1),IF(F25="sl",((1/2)*(LN((1-E25)/E25))^-1*LN((D27-D26)/(E26-D26))/(D58*(1-D58))+((1-2*E25)*(LN((1-E25)/E25)))^-1*LN(((D27-D26)*(E26-D26))/(F26-D26)^2)*((D58-0.5)/(D58*(1-D58))+LN(D58/(1-D58))))^(-1)*EXP(-(LN(F26-D26)+(1/2)*(LN((1-E25)/E25))^-1*LN((D27-D26)/(E26-D26))*LN(D58/(1-D58))+((1-2*E25)*(LN((1-E25)/E25)))^-1*LN(((D27-D26)*(E26-D26))/(F26-D26)^2)*(D58-0.5)*LN(D58/(1-D58)))),IF(F25="su",(-(1/2)*(LN((1-E25)/E25))^-1*LN((E27-D27)/(E27-E26))/(D58*(1-D58))-((1-2*E25)*(LN((1-E25)/E25)))^-1*LN(((E27-D27)*(E27-E26))/(E27-F26)^2)*((D58-0.5)/(D58*(1-D58))+LN(D58/(1-D58))))^(-1)*EXP((-LN(E27-F26)-(1/2)*(LN((1-E25)/E25))^-1*LN((E27-D27)/(E27-E26))*LN(D58/(1-D58))-((1-2*E25)*(LN((1-E25)/E25)))^-1*LN(((E27-D27)*(E27-E26))/(E27-F26)^2)*(D58-0.5)*LN(D58/(1-D58)))),IF(F25="b",((1/2)*(LN((1-E25)/E25))^-1*LN(((D27-D26)/(E27-D27))/((E26-D26)/(E27-E26)))/(D58*(1-D58))+((1-2*E25)*(LN((1-E25)/E25)))^-1*LN((((D27-D26)/(E27-D27))*((E26-D26)/(E27-E26)))/((F26-D26)/(E27-F26))^2)*((D58-0.5)/(D58*(1-D58))+LN(D58/(1-D58))))^(-1)*(1+EXP(LN((F26-D26)/(E27-F26))+(1/2)*(LN((1-E25)/E25))^-1*LN(((D27-D26)/(E27-D27))/((E26-D26)/(E27-E26)))*LN(D58/(1-D58))+((1-2*E25)*(LN((1-E25)/E25)))^-1*LN((((D27-D26)/(E27-D27))*((E26-D26)/(E27-E26)))/((F26-D26)/(E27-F26))^2)*(D58-0.5)*LN(D58/(1-D58))))^2/((E27-D26)*EXP(LN((F26-D26)/(E27-F26))+(1/2)*(LN((1-E25)/E25))^-1*LN(((D27-D26)/(E27-D27))/((E26-D26)/(E27-E26)))*LN(D58/(1-D58))+((1-2*E25)*(LN((1-E25)/E25)))^-1*LN((((D27-D26)/(E27-D27))*((E26-D26)/(E27-E26)))/((F26-D26)/(E27-F26))^2)*(D58-0.5)*LN(D58/(1-D58)))),NA())))))</f>
        <v>2.4564613172757033E-2</v>
      </c>
      <c r="H58" s="72">
        <v>22</v>
      </c>
      <c r="I58" s="69">
        <f t="shared" si="0"/>
        <v>18.410232527752804</v>
      </c>
      <c r="J58" s="70">
        <f t="shared" si="1"/>
        <v>11</v>
      </c>
      <c r="K58" s="71">
        <f t="shared" si="2"/>
        <v>1.25773457723042E-2</v>
      </c>
    </row>
    <row r="59" spans="4:11" ht="15" customHeight="1" x14ac:dyDescent="0.35">
      <c r="D59" s="47">
        <f>IF(F27&lt;&gt;"",NA(),(ROW()-ROW(D40))/100)</f>
        <v>0.19</v>
      </c>
      <c r="E59" s="48">
        <f>IF(F27&lt;&gt;"",NA(),IF(F25="u",F26+(1/2)*(LN((1-E25)/E25))^-1*(D27-E26)*LN(D59/(1-D59))+((1-2*E25)*(LN((1-E25)/E25)))^-1*(1-2*(F26-E26)/(D27-E26))*(D27-E26)*(D59-0.5)*LN(D59/(1-D59)),IF(F25="sl",D26+EXP(LN(F26-D26)+(1/2)*(LN((1-E25)/E25))^-1*LN((D27-D26)/(E26-D26))*LN(D59/(1-D59))+((1-2*E25)*(LN((1-E25)/E25)))^-1*LN(((D27-D26)*(E26-D26))/(F26-D26)^2)*(D59-0.5)*LN(D59/(1-D59))),IF(F25="su",E27-EXP(-(-LN(E27-F26)-(1/2)*(LN((1-E25)/E25))^-1*LN((E27-D27)/(E27-E26))*LN(D59/(1-D59))-((1-2*E25)*(LN((1-E25)/E25)))^-1*LN(((E27-D27)*(E27-E26))/(E27-F26)^2)*(D59-0.5)*LN(D59/(1-D59)))),IF(F25="b",(D26+E27*EXP(LN((F26-D26)/(E27-F26))+(1/2)*(LN((1-E25)/E25))^-1*LN(((D27-D26)/(E27-D27))/((E26-D26)/(E27-E26)))*LN(D59/(1-D59))+((1-2*E25)*(LN((1-E25)/E25)))^-1*LN((((D27-D26)/(E27-D27))*((E26-D26)/(E27-E26)))/((F26-D26)/(E27-F26))^2)*(D59-0.5)*LN(D59/(1-D59))))/(1+EXP(LN((F26-D26)/(E27-F26))+(1/2)*(LN((1-E25)/E25))^-1*LN(((D27-D26)/(E27-D27))/((E26-D26)/(E27-E26)))*LN(D59/(1-D59))+((1-2*E25)*(LN((1-E25)/E25)))^-1*LN((((D27-D26)/(E27-D27))*((E26-D26)/(E27-E26)))/((F26-D26)/(E27-F26))^2)*(D59-0.5)*LN(D59/(1-D59)))),NA())))))</f>
        <v>24.358659865173902</v>
      </c>
      <c r="F59" s="49">
        <f>IF(F27&lt;&gt;"",NA(),IF(F25="u",((1/2)*(LN((1-E25)/E25))^-1*(D27-E26)/(D59*(1-D59))+((1-2*E25)*(LN((1-E25)/E25)))^-1*(1-2*(F26-E26)/(D27-E26))*(D27-E26)*((D59-0.5)/(D59*(1-D59))+LN(D59/(1-D59))))^(-1),IF(F25="sl",((1/2)*(LN((1-E25)/E25))^-1*LN((D27-D26)/(E26-D26))/(D59*(1-D59))+((1-2*E25)*(LN((1-E25)/E25)))^-1*LN(((D27-D26)*(E26-D26))/(F26-D26)^2)*((D59-0.5)/(D59*(1-D59))+LN(D59/(1-D59))))^(-1)*EXP(-(LN(F26-D26)+(1/2)*(LN((1-E25)/E25))^-1*LN((D27-D26)/(E26-D26))*LN(D59/(1-D59))+((1-2*E25)*(LN((1-E25)/E25)))^-1*LN(((D27-D26)*(E26-D26))/(F26-D26)^2)*(D59-0.5)*LN(D59/(1-D59)))),IF(F25="su",(-(1/2)*(LN((1-E25)/E25))^-1*LN((E27-D27)/(E27-E26))/(D59*(1-D59))-((1-2*E25)*(LN((1-E25)/E25)))^-1*LN(((E27-D27)*(E27-E26))/(E27-F26)^2)*((D59-0.5)/(D59*(1-D59))+LN(D59/(1-D59))))^(-1)*EXP((-LN(E27-F26)-(1/2)*(LN((1-E25)/E25))^-1*LN((E27-D27)/(E27-E26))*LN(D59/(1-D59))-((1-2*E25)*(LN((1-E25)/E25)))^-1*LN(((E27-D27)*(E27-E26))/(E27-F26)^2)*(D59-0.5)*LN(D59/(1-D59)))),IF(F25="b",((1/2)*(LN((1-E25)/E25))^-1*LN(((D27-D26)/(E27-D27))/((E26-D26)/(E27-E26)))/(D59*(1-D59))+((1-2*E25)*(LN((1-E25)/E25)))^-1*LN((((D27-D26)/(E27-D27))*((E26-D26)/(E27-E26)))/((F26-D26)/(E27-F26))^2)*((D59-0.5)/(D59*(1-D59))+LN(D59/(1-D59))))^(-1)*(1+EXP(LN((F26-D26)/(E27-F26))+(1/2)*(LN((1-E25)/E25))^-1*LN(((D27-D26)/(E27-D27))/((E26-D26)/(E27-E26)))*LN(D59/(1-D59))+((1-2*E25)*(LN((1-E25)/E25)))^-1*LN((((D27-D26)/(E27-D27))*((E26-D26)/(E27-E26)))/((F26-D26)/(E27-F26))^2)*(D59-0.5)*LN(D59/(1-D59))))^2/((E27-D26)*EXP(LN((F26-D26)/(E27-F26))+(1/2)*(LN((1-E25)/E25))^-1*LN(((D27-D26)/(E27-D27))/((E26-D26)/(E27-E26)))*LN(D59/(1-D59))+((1-2*E25)*(LN((1-E25)/E25)))^-1*LN((((D27-D26)/(E27-D27))*((E26-D26)/(E27-E26)))/((F26-D26)/(E27-F26))^2)*(D59-0.5)*LN(D59/(1-D59)))),NA())))))</f>
        <v>2.5357262494457619E-2</v>
      </c>
      <c r="H59" s="72">
        <v>23</v>
      </c>
      <c r="I59" s="69">
        <f t="shared" si="0"/>
        <v>19.68029295769589</v>
      </c>
      <c r="J59" s="70">
        <f t="shared" si="1"/>
        <v>13</v>
      </c>
      <c r="K59" s="71">
        <f t="shared" si="2"/>
        <v>1.511158089926265E-2</v>
      </c>
    </row>
    <row r="60" spans="4:11" x14ac:dyDescent="0.35">
      <c r="D60" s="47">
        <f>IF(F27&lt;&gt;"",NA(),(ROW()-ROW(D40))/100)</f>
        <v>0.2</v>
      </c>
      <c r="E60" s="48">
        <f>IF(F27&lt;&gt;"",NA(),IF(F25="u",F26+(1/2)*(LN((1-E25)/E25))^-1*(D27-E26)*LN(D60/(1-D60))+((1-2*E25)*(LN((1-E25)/E25)))^-1*(1-2*(F26-E26)/(D27-E26))*(D27-E26)*(D60-0.5)*LN(D60/(1-D60)),IF(F25="sl",D26+EXP(LN(F26-D26)+(1/2)*(LN((1-E25)/E25))^-1*LN((D27-D26)/(E26-D26))*LN(D60/(1-D60))+((1-2*E25)*(LN((1-E25)/E25)))^-1*LN(((D27-D26)*(E26-D26))/(F26-D26)^2)*(D60-0.5)*LN(D60/(1-D60))),IF(F25="su",E27-EXP(-(-LN(E27-F26)-(1/2)*(LN((1-E25)/E25))^-1*LN((E27-D27)/(E27-E26))*LN(D60/(1-D60))-((1-2*E25)*(LN((1-E25)/E25)))^-1*LN(((E27-D27)*(E27-E26))/(E27-F26)^2)*(D60-0.5)*LN(D60/(1-D60)))),IF(F25="b",(D26+E27*EXP(LN((F26-D26)/(E27-F26))+(1/2)*(LN((1-E25)/E25))^-1*LN(((D27-D26)/(E27-D27))/((E26-D26)/(E27-E26)))*LN(D60/(1-D60))+((1-2*E25)*(LN((1-E25)/E25)))^-1*LN((((D27-D26)/(E27-D27))*((E26-D26)/(E27-E26)))/((F26-D26)/(E27-F26))^2)*(D60-0.5)*LN(D60/(1-D60))))/(1+EXP(LN((F26-D26)/(E27-F26))+(1/2)*(LN((1-E25)/E25))^-1*LN(((D27-D26)/(E27-D27))/((E26-D26)/(E27-E26)))*LN(D60/(1-D60))+((1-2*E25)*(LN((1-E25)/E25)))^-1*LN((((D27-D26)/(E27-D27))*((E26-D26)/(E27-E26)))/((F26-D26)/(E27-F26))^2)*(D60-0.5)*LN(D60/(1-D60)))),NA())))))</f>
        <v>24.747391504463817</v>
      </c>
      <c r="F60" s="49">
        <f>IF(F27&lt;&gt;"",NA(),IF(F25="u",((1/2)*(LN((1-E25)/E25))^-1*(D27-E26)/(D60*(1-D60))+((1-2*E25)*(LN((1-E25)/E25)))^-1*(1-2*(F26-E26)/(D27-E26))*(D27-E26)*((D60-0.5)/(D60*(1-D60))+LN(D60/(1-D60))))^(-1),IF(F25="sl",((1/2)*(LN((1-E25)/E25))^-1*LN((D27-D26)/(E26-D26))/(D60*(1-D60))+((1-2*E25)*(LN((1-E25)/E25)))^-1*LN(((D27-D26)*(E26-D26))/(F26-D26)^2)*((D60-0.5)/(D60*(1-D60))+LN(D60/(1-D60))))^(-1)*EXP(-(LN(F26-D26)+(1/2)*(LN((1-E25)/E25))^-1*LN((D27-D26)/(E26-D26))*LN(D60/(1-D60))+((1-2*E25)*(LN((1-E25)/E25)))^-1*LN(((D27-D26)*(E26-D26))/(F26-D26)^2)*(D60-0.5)*LN(D60/(1-D60)))),IF(F25="su",(-(1/2)*(LN((1-E25)/E25))^-1*LN((E27-D27)/(E27-E26))/(D60*(1-D60))-((1-2*E25)*(LN((1-E25)/E25)))^-1*LN(((E27-D27)*(E27-E26))/(E27-F26)^2)*((D60-0.5)/(D60*(1-D60))+LN(D60/(1-D60))))^(-1)*EXP((-LN(E27-F26)-(1/2)*(LN((1-E25)/E25))^-1*LN((E27-D27)/(E27-E26))*LN(D60/(1-D60))-((1-2*E25)*(LN((1-E25)/E25)))^-1*LN(((E27-D27)*(E27-E26))/(E27-F26)^2)*(D60-0.5)*LN(D60/(1-D60)))),IF(F25="b",((1/2)*(LN((1-E25)/E25))^-1*LN(((D27-D26)/(E27-D27))/((E26-D26)/(E27-E26)))/(D60*(1-D60))+((1-2*E25)*(LN((1-E25)/E25)))^-1*LN((((D27-D26)/(E27-D27))*((E26-D26)/(E27-E26)))/((F26-D26)/(E27-F26))^2)*((D60-0.5)/(D60*(1-D60))+LN(D60/(1-D60))))^(-1)*(1+EXP(LN((F26-D26)/(E27-F26))+(1/2)*(LN((1-E25)/E25))^-1*LN(((D27-D26)/(E27-D27))/((E26-D26)/(E27-E26)))*LN(D60/(1-D60))+((1-2*E25)*(LN((1-E25)/E25)))^-1*LN((((D27-D26)/(E27-D27))*((E26-D26)/(E27-E26)))/((F26-D26)/(E27-F26))^2)*(D60-0.5)*LN(D60/(1-D60))))^2/((E27-D26)*EXP(LN((F26-D26)/(E27-F26))+(1/2)*(LN((1-E25)/E25))^-1*LN(((D27-D26)/(E27-D27))/((E26-D26)/(E27-E26)))*LN(D60/(1-D60))+((1-2*E25)*(LN((1-E25)/E25)))^-1*LN((((D27-D26)/(E27-D27))*((E26-D26)/(E27-E26)))/((F26-D26)/(E27-F26))^2)*(D60-0.5)*LN(D60/(1-D60)))),NA())))))</f>
        <v>2.6084826316305716E-2</v>
      </c>
      <c r="H60" s="72">
        <v>24</v>
      </c>
      <c r="I60" s="69">
        <f t="shared" si="0"/>
        <v>20.950353387638977</v>
      </c>
      <c r="J60" s="70">
        <f t="shared" si="1"/>
        <v>15</v>
      </c>
      <c r="K60" s="71">
        <f t="shared" si="2"/>
        <v>1.7888182150382549E-2</v>
      </c>
    </row>
    <row r="61" spans="4:11" x14ac:dyDescent="0.35">
      <c r="D61" s="47">
        <f>IF(F27&lt;&gt;"",NA(),(ROW()-ROW(D40))/100)</f>
        <v>0.21</v>
      </c>
      <c r="E61" s="48">
        <f>IF(F27&lt;&gt;"",NA(),IF(F25="u",F26+(1/2)*(LN((1-E25)/E25))^-1*(D27-E26)*LN(D61/(1-D61))+((1-2*E25)*(LN((1-E25)/E25)))^-1*(1-2*(F26-E26)/(D27-E26))*(D27-E26)*(D61-0.5)*LN(D61/(1-D61)),IF(F25="sl",D26+EXP(LN(F26-D26)+(1/2)*(LN((1-E25)/E25))^-1*LN((D27-D26)/(E26-D26))*LN(D61/(1-D61))+((1-2*E25)*(LN((1-E25)/E25)))^-1*LN(((D27-D26)*(E26-D26))/(F26-D26)^2)*(D61-0.5)*LN(D61/(1-D61))),IF(F25="su",E27-EXP(-(-LN(E27-F26)-(1/2)*(LN((1-E25)/E25))^-1*LN((E27-D27)/(E27-E26))*LN(D61/(1-D61))-((1-2*E25)*(LN((1-E25)/E25)))^-1*LN(((E27-D27)*(E27-E26))/(E27-F26)^2)*(D61-0.5)*LN(D61/(1-D61)))),IF(F25="b",(D26+E27*EXP(LN((F26-D26)/(E27-F26))+(1/2)*(LN((1-E25)/E25))^-1*LN(((D27-D26)/(E27-D27))/((E26-D26)/(E27-E26)))*LN(D61/(1-D61))+((1-2*E25)*(LN((1-E25)/E25)))^-1*LN((((D27-D26)/(E27-D27))*((E26-D26)/(E27-E26)))/((F26-D26)/(E27-F26))^2)*(D61-0.5)*LN(D61/(1-D61))))/(1+EXP(LN((F26-D26)/(E27-F26))+(1/2)*(LN((1-E25)/E25))^-1*LN(((D27-D26)/(E27-D27))/((E26-D26)/(E27-E26)))*LN(D61/(1-D61))+((1-2*E25)*(LN((1-E25)/E25)))^-1*LN((((D27-D26)/(E27-D27))*((E26-D26)/(E27-E26)))/((F26-D26)/(E27-F26))^2)*(D61-0.5)*LN(D61/(1-D61)))),NA())))))</f>
        <v>25.125882492754148</v>
      </c>
      <c r="F61" s="49">
        <f>IF(F27&lt;&gt;"",NA(),IF(F25="u",((1/2)*(LN((1-E25)/E25))^-1*(D27-E26)/(D61*(1-D61))+((1-2*E25)*(LN((1-E25)/E25)))^-1*(1-2*(F26-E26)/(D27-E26))*(D27-E26)*((D61-0.5)/(D61*(1-D61))+LN(D61/(1-D61))))^(-1),IF(F25="sl",((1/2)*(LN((1-E25)/E25))^-1*LN((D27-D26)/(E26-D26))/(D61*(1-D61))+((1-2*E25)*(LN((1-E25)/E25)))^-1*LN(((D27-D26)*(E26-D26))/(F26-D26)^2)*((D61-0.5)/(D61*(1-D61))+LN(D61/(1-D61))))^(-1)*EXP(-(LN(F26-D26)+(1/2)*(LN((1-E25)/E25))^-1*LN((D27-D26)/(E26-D26))*LN(D61/(1-D61))+((1-2*E25)*(LN((1-E25)/E25)))^-1*LN(((D27-D26)*(E26-D26))/(F26-D26)^2)*(D61-0.5)*LN(D61/(1-D61)))),IF(F25="su",(-(1/2)*(LN((1-E25)/E25))^-1*LN((E27-D27)/(E27-E26))/(D61*(1-D61))-((1-2*E25)*(LN((1-E25)/E25)))^-1*LN(((E27-D27)*(E27-E26))/(E27-F26)^2)*((D61-0.5)/(D61*(1-D61))+LN(D61/(1-D61))))^(-1)*EXP((-LN(E27-F26)-(1/2)*(LN((1-E25)/E25))^-1*LN((E27-D27)/(E27-E26))*LN(D61/(1-D61))-((1-2*E25)*(LN((1-E25)/E25)))^-1*LN(((E27-D27)*(E27-E26))/(E27-F26)^2)*(D61-0.5)*LN(D61/(1-D61)))),IF(F25="b",((1/2)*(LN((1-E25)/E25))^-1*LN(((D27-D26)/(E27-D27))/((E26-D26)/(E27-E26)))/(D61*(1-D61))+((1-2*E25)*(LN((1-E25)/E25)))^-1*LN((((D27-D26)/(E27-D27))*((E26-D26)/(E27-E26)))/((F26-D26)/(E27-F26))^2)*((D61-0.5)/(D61*(1-D61))+LN(D61/(1-D61))))^(-1)*(1+EXP(LN((F26-D26)/(E27-F26))+(1/2)*(LN((1-E25)/E25))^-1*LN(((D27-D26)/(E27-D27))/((E26-D26)/(E27-E26)))*LN(D61/(1-D61))+((1-2*E25)*(LN((1-E25)/E25)))^-1*LN((((D27-D26)/(E27-D27))*((E26-D26)/(E27-E26)))/((F26-D26)/(E27-F26))^2)*(D61-0.5)*LN(D61/(1-D61))))^2/((E27-D26)*EXP(LN((F26-D26)/(E27-F26))+(1/2)*(LN((1-E25)/E25))^-1*LN(((D27-D26)/(E27-D27))/((E26-D26)/(E27-E26)))*LN(D61/(1-D61))+((1-2*E25)*(LN((1-E25)/E25)))^-1*LN((((D27-D26)/(E27-D27))*((E26-D26)/(E27-E26)))/((F26-D26)/(E27-F26))^2)*(D61-0.5)*LN(D61/(1-D61)))),NA())))))</f>
        <v>2.6748946719584832E-2</v>
      </c>
      <c r="H61" s="72">
        <v>25</v>
      </c>
      <c r="I61" s="69">
        <f t="shared" si="0"/>
        <v>22.220413817582063</v>
      </c>
      <c r="J61" s="70">
        <f t="shared" si="1"/>
        <v>18</v>
      </c>
      <c r="K61" s="71">
        <f t="shared" si="2"/>
        <v>2.077850907245473E-2</v>
      </c>
    </row>
    <row r="62" spans="4:11" x14ac:dyDescent="0.35">
      <c r="D62" s="47">
        <f>IF(F27&lt;&gt;"",NA(),(ROW()-ROW(D40))/100)</f>
        <v>0.22</v>
      </c>
      <c r="E62" s="48">
        <f>IF(F27&lt;&gt;"",NA(),IF(F25="u",F26+(1/2)*(LN((1-E25)/E25))^-1*(D27-E26)*LN(D62/(1-D62))+((1-2*E25)*(LN((1-E25)/E25)))^-1*(1-2*(F26-E26)/(D27-E26))*(D27-E26)*(D62-0.5)*LN(D62/(1-D62)),IF(F25="sl",D26+EXP(LN(F26-D26)+(1/2)*(LN((1-E25)/E25))^-1*LN((D27-D26)/(E26-D26))*LN(D62/(1-D62))+((1-2*E25)*(LN((1-E25)/E25)))^-1*LN(((D27-D26)*(E26-D26))/(F26-D26)^2)*(D62-0.5)*LN(D62/(1-D62))),IF(F25="su",E27-EXP(-(-LN(E27-F26)-(1/2)*(LN((1-E25)/E25))^-1*LN((E27-D27)/(E27-E26))*LN(D62/(1-D62))-((1-2*E25)*(LN((1-E25)/E25)))^-1*LN(((E27-D27)*(E27-E26))/(E27-F26)^2)*(D62-0.5)*LN(D62/(1-D62)))),IF(F25="b",(D26+E27*EXP(LN((F26-D26)/(E27-F26))+(1/2)*(LN((1-E25)/E25))^-1*LN(((D27-D26)/(E27-D27))/((E26-D26)/(E27-E26)))*LN(D62/(1-D62))+((1-2*E25)*(LN((1-E25)/E25)))^-1*LN((((D27-D26)/(E27-D27))*((E26-D26)/(E27-E26)))/((F26-D26)/(E27-F26))^2)*(D62-0.5)*LN(D62/(1-D62))))/(1+EXP(LN((F26-D26)/(E27-F26))+(1/2)*(LN((1-E25)/E25))^-1*LN(((D27-D26)/(E27-D27))/((E26-D26)/(E27-E26)))*LN(D62/(1-D62))+((1-2*E25)*(LN((1-E25)/E25)))^-1*LN((((D27-D26)/(E27-D27))*((E26-D26)/(E27-E26)))/((F26-D26)/(E27-F26))^2)*(D62-0.5)*LN(D62/(1-D62)))),NA())))))</f>
        <v>25.495511758163598</v>
      </c>
      <c r="F62" s="49">
        <f>IF(F27&lt;&gt;"",NA(),IF(F25="u",((1/2)*(LN((1-E25)/E25))^-1*(D27-E26)/(D62*(1-D62))+((1-2*E25)*(LN((1-E25)/E25)))^-1*(1-2*(F26-E26)/(D27-E26))*(D27-E26)*((D62-0.5)/(D62*(1-D62))+LN(D62/(1-D62))))^(-1),IF(F25="sl",((1/2)*(LN((1-E25)/E25))^-1*LN((D27-D26)/(E26-D26))/(D62*(1-D62))+((1-2*E25)*(LN((1-E25)/E25)))^-1*LN(((D27-D26)*(E26-D26))/(F26-D26)^2)*((D62-0.5)/(D62*(1-D62))+LN(D62/(1-D62))))^(-1)*EXP(-(LN(F26-D26)+(1/2)*(LN((1-E25)/E25))^-1*LN((D27-D26)/(E26-D26))*LN(D62/(1-D62))+((1-2*E25)*(LN((1-E25)/E25)))^-1*LN(((D27-D26)*(E26-D26))/(F26-D26)^2)*(D62-0.5)*LN(D62/(1-D62)))),IF(F25="su",(-(1/2)*(LN((1-E25)/E25))^-1*LN((E27-D27)/(E27-E26))/(D62*(1-D62))-((1-2*E25)*(LN((1-E25)/E25)))^-1*LN(((E27-D27)*(E27-E26))/(E27-F26)^2)*((D62-0.5)/(D62*(1-D62))+LN(D62/(1-D62))))^(-1)*EXP((-LN(E27-F26)-(1/2)*(LN((1-E25)/E25))^-1*LN((E27-D27)/(E27-E26))*LN(D62/(1-D62))-((1-2*E25)*(LN((1-E25)/E25)))^-1*LN(((E27-D27)*(E27-E26))/(E27-F26)^2)*(D62-0.5)*LN(D62/(1-D62)))),IF(F25="b",((1/2)*(LN((1-E25)/E25))^-1*LN(((D27-D26)/(E27-D27))/((E26-D26)/(E27-E26)))/(D62*(1-D62))+((1-2*E25)*(LN((1-E25)/E25)))^-1*LN((((D27-D26)/(E27-D27))*((E26-D26)/(E27-E26)))/((F26-D26)/(E27-F26))^2)*((D62-0.5)/(D62*(1-D62))+LN(D62/(1-D62))))^(-1)*(1+EXP(LN((F26-D26)/(E27-F26))+(1/2)*(LN((1-E25)/E25))^-1*LN(((D27-D26)/(E27-D27))/((E26-D26)/(E27-E26)))*LN(D62/(1-D62))+((1-2*E25)*(LN((1-E25)/E25)))^-1*LN((((D27-D26)/(E27-D27))*((E26-D26)/(E27-E26)))/((F26-D26)/(E27-F26))^2)*(D62-0.5)*LN(D62/(1-D62))))^2/((E27-D26)*EXP(LN((F26-D26)/(E27-F26))+(1/2)*(LN((1-E25)/E25))^-1*LN(((D27-D26)/(E27-D27))/((E26-D26)/(E27-E26)))*LN(D62/(1-D62))+((1-2*E25)*(LN((1-E25)/E25)))^-1*LN((((D27-D26)/(E27-D27))*((E26-D26)/(E27-E26)))/((F26-D26)/(E27-F26))^2)*(D62-0.5)*LN(D62/(1-D62)))),NA())))))</f>
        <v>2.7351451164368708E-2</v>
      </c>
      <c r="H62" s="72">
        <v>26</v>
      </c>
      <c r="I62" s="69">
        <f t="shared" si="0"/>
        <v>23.49047424752515</v>
      </c>
      <c r="J62" s="70">
        <f t="shared" si="1"/>
        <v>20</v>
      </c>
      <c r="K62" s="71">
        <f t="shared" si="2"/>
        <v>2.3590578019894885E-2</v>
      </c>
    </row>
    <row r="63" spans="4:11" x14ac:dyDescent="0.35">
      <c r="D63" s="47">
        <f>IF(F27&lt;&gt;"",NA(),(ROW()-ROW(D40))/100)</f>
        <v>0.23</v>
      </c>
      <c r="E63" s="48">
        <f>IF(F27&lt;&gt;"",NA(),IF(F25="u",F26+(1/2)*(LN((1-E25)/E25))^-1*(D27-E26)*LN(D63/(1-D63))+((1-2*E25)*(LN((1-E25)/E25)))^-1*(1-2*(F26-E26)/(D27-E26))*(D27-E26)*(D63-0.5)*LN(D63/(1-D63)),IF(F25="sl",D26+EXP(LN(F26-D26)+(1/2)*(LN((1-E25)/E25))^-1*LN((D27-D26)/(E26-D26))*LN(D63/(1-D63))+((1-2*E25)*(LN((1-E25)/E25)))^-1*LN(((D27-D26)*(E26-D26))/(F26-D26)^2)*(D63-0.5)*LN(D63/(1-D63))),IF(F25="su",E27-EXP(-(-LN(E27-F26)-(1/2)*(LN((1-E25)/E25))^-1*LN((E27-D27)/(E27-E26))*LN(D63/(1-D63))-((1-2*E25)*(LN((1-E25)/E25)))^-1*LN(((E27-D27)*(E27-E26))/(E27-F26)^2)*(D63-0.5)*LN(D63/(1-D63)))),IF(F25="b",(D26+E27*EXP(LN((F26-D26)/(E27-F26))+(1/2)*(LN((1-E25)/E25))^-1*LN(((D27-D26)/(E27-D27))/((E26-D26)/(E27-E26)))*LN(D63/(1-D63))+((1-2*E25)*(LN((1-E25)/E25)))^-1*LN((((D27-D26)/(E27-D27))*((E26-D26)/(E27-E26)))/((F26-D26)/(E27-F26))^2)*(D63-0.5)*LN(D63/(1-D63))))/(1+EXP(LN((F26-D26)/(E27-F26))+(1/2)*(LN((1-E25)/E25))^-1*LN(((D27-D26)/(E27-D27))/((E26-D26)/(E27-E26)))*LN(D63/(1-D63))+((1-2*E25)*(LN((1-E25)/E25)))^-1*LN((((D27-D26)/(E27-D27))*((E26-D26)/(E27-E26)))/((F26-D26)/(E27-F26))^2)*(D63-0.5)*LN(D63/(1-D63)))),NA())))))</f>
        <v>25.857478108656032</v>
      </c>
      <c r="F63" s="49">
        <f>IF(F27&lt;&gt;"",NA(),IF(F25="u",((1/2)*(LN((1-E25)/E25))^-1*(D27-E26)/(D63*(1-D63))+((1-2*E25)*(LN((1-E25)/E25)))^-1*(1-2*(F26-E26)/(D27-E26))*(D27-E26)*((D63-0.5)/(D63*(1-D63))+LN(D63/(1-D63))))^(-1),IF(F25="sl",((1/2)*(LN((1-E25)/E25))^-1*LN((D27-D26)/(E26-D26))/(D63*(1-D63))+((1-2*E25)*(LN((1-E25)/E25)))^-1*LN(((D27-D26)*(E26-D26))/(F26-D26)^2)*((D63-0.5)/(D63*(1-D63))+LN(D63/(1-D63))))^(-1)*EXP(-(LN(F26-D26)+(1/2)*(LN((1-E25)/E25))^-1*LN((D27-D26)/(E26-D26))*LN(D63/(1-D63))+((1-2*E25)*(LN((1-E25)/E25)))^-1*LN(((D27-D26)*(E26-D26))/(F26-D26)^2)*(D63-0.5)*LN(D63/(1-D63)))),IF(F25="su",(-(1/2)*(LN((1-E25)/E25))^-1*LN((E27-D27)/(E27-E26))/(D63*(1-D63))-((1-2*E25)*(LN((1-E25)/E25)))^-1*LN(((E27-D27)*(E27-E26))/(E27-F26)^2)*((D63-0.5)/(D63*(1-D63))+LN(D63/(1-D63))))^(-1)*EXP((-LN(E27-F26)-(1/2)*(LN((1-E25)/E25))^-1*LN((E27-D27)/(E27-E26))*LN(D63/(1-D63))-((1-2*E25)*(LN((1-E25)/E25)))^-1*LN(((E27-D27)*(E27-E26))/(E27-F26)^2)*(D63-0.5)*LN(D63/(1-D63)))),IF(F25="b",((1/2)*(LN((1-E25)/E25))^-1*LN(((D27-D26)/(E27-D27))/((E26-D26)/(E27-E26)))/(D63*(1-D63))+((1-2*E25)*(LN((1-E25)/E25)))^-1*LN((((D27-D26)/(E27-D27))*((E26-D26)/(E27-E26)))/((F26-D26)/(E27-F26))^2)*((D63-0.5)/(D63*(1-D63))+LN(D63/(1-D63))))^(-1)*(1+EXP(LN((F26-D26)/(E27-F26))+(1/2)*(LN((1-E25)/E25))^-1*LN(((D27-D26)/(E27-D27))/((E26-D26)/(E27-E26)))*LN(D63/(1-D63))+((1-2*E25)*(LN((1-E25)/E25)))^-1*LN((((D27-D26)/(E27-D27))*((E26-D26)/(E27-E26)))/((F26-D26)/(E27-F26))^2)*(D63-0.5)*LN(D63/(1-D63))))^2/((E27-D26)*EXP(LN((F26-D26)/(E27-F26))+(1/2)*(LN((1-E25)/E25))^-1*LN(((D27-D26)/(E27-D27))/((E26-D26)/(E27-E26)))*LN(D63/(1-D63))+((1-2*E25)*(LN((1-E25)/E25)))^-1*LN((((D27-D26)/(E27-D27))*((E26-D26)/(E27-E26)))/((F26-D26)/(E27-F26))^2)*(D63-0.5)*LN(D63/(1-D63)))),NA())))))</f>
        <v>2.7894312073629531E-2</v>
      </c>
      <c r="H63" s="72">
        <v>27</v>
      </c>
      <c r="I63" s="69">
        <f t="shared" si="0"/>
        <v>24.760534677468236</v>
      </c>
      <c r="J63" s="70">
        <f t="shared" si="1"/>
        <v>24</v>
      </c>
      <c r="K63" s="71">
        <f t="shared" si="2"/>
        <v>2.6107888026164358E-2</v>
      </c>
    </row>
    <row r="64" spans="4:11" x14ac:dyDescent="0.35">
      <c r="D64" s="47">
        <f>IF(F27&lt;&gt;"",NA(),(ROW()-ROW(D40))/100)</f>
        <v>0.24</v>
      </c>
      <c r="E64" s="48">
        <f>IF(F27&lt;&gt;"",NA(),IF(F25="u",F26+(1/2)*(LN((1-E25)/E25))^-1*(D27-E26)*LN(D64/(1-D64))+((1-2*E25)*(LN((1-E25)/E25)))^-1*(1-2*(F26-E26)/(D27-E26))*(D27-E26)*(D64-0.5)*LN(D64/(1-D64)),IF(F25="sl",D26+EXP(LN(F26-D26)+(1/2)*(LN((1-E25)/E25))^-1*LN((D27-D26)/(E26-D26))*LN(D64/(1-D64))+((1-2*E25)*(LN((1-E25)/E25)))^-1*LN(((D27-D26)*(E26-D26))/(F26-D26)^2)*(D64-0.5)*LN(D64/(1-D64))),IF(F25="su",E27-EXP(-(-LN(E27-F26)-(1/2)*(LN((1-E25)/E25))^-1*LN((E27-D27)/(E27-E26))*LN(D64/(1-D64))-((1-2*E25)*(LN((1-E25)/E25)))^-1*LN(((E27-D27)*(E27-E26))/(E27-F26)^2)*(D64-0.5)*LN(D64/(1-D64)))),IF(F25="b",(D26+E27*EXP(LN((F26-D26)/(E27-F26))+(1/2)*(LN((1-E25)/E25))^-1*LN(((D27-D26)/(E27-D27))/((E26-D26)/(E27-E26)))*LN(D64/(1-D64))+((1-2*E25)*(LN((1-E25)/E25)))^-1*LN((((D27-D26)/(E27-D27))*((E26-D26)/(E27-E26)))/((F26-D26)/(E27-F26))^2)*(D64-0.5)*LN(D64/(1-D64))))/(1+EXP(LN((F26-D26)/(E27-F26))+(1/2)*(LN((1-E25)/E25))^-1*LN(((D27-D26)/(E27-D27))/((E26-D26)/(E27-E26)))*LN(D64/(1-D64))+((1-2*E25)*(LN((1-E25)/E25)))^-1*LN((((D27-D26)/(E27-D27))*((E26-D26)/(E27-E26)))/((F26-D26)/(E27-F26))^2)*(D64-0.5)*LN(D64/(1-D64)))),NA())))))</f>
        <v>26.212831864972564</v>
      </c>
      <c r="F64" s="49">
        <f>IF(F27&lt;&gt;"",NA(),IF(F25="u",((1/2)*(LN((1-E25)/E25))^-1*(D27-E26)/(D64*(1-D64))+((1-2*E25)*(LN((1-E25)/E25)))^-1*(1-2*(F26-E26)/(D27-E26))*(D27-E26)*((D64-0.5)/(D64*(1-D64))+LN(D64/(1-D64))))^(-1),IF(F25="sl",((1/2)*(LN((1-E25)/E25))^-1*LN((D27-D26)/(E26-D26))/(D64*(1-D64))+((1-2*E25)*(LN((1-E25)/E25)))^-1*LN(((D27-D26)*(E26-D26))/(F26-D26)^2)*((D64-0.5)/(D64*(1-D64))+LN(D64/(1-D64))))^(-1)*EXP(-(LN(F26-D26)+(1/2)*(LN((1-E25)/E25))^-1*LN((D27-D26)/(E26-D26))*LN(D64/(1-D64))+((1-2*E25)*(LN((1-E25)/E25)))^-1*LN(((D27-D26)*(E26-D26))/(F26-D26)^2)*(D64-0.5)*LN(D64/(1-D64)))),IF(F25="su",(-(1/2)*(LN((1-E25)/E25))^-1*LN((E27-D27)/(E27-E26))/(D64*(1-D64))-((1-2*E25)*(LN((1-E25)/E25)))^-1*LN(((E27-D27)*(E27-E26))/(E27-F26)^2)*((D64-0.5)/(D64*(1-D64))+LN(D64/(1-D64))))^(-1)*EXP((-LN(E27-F26)-(1/2)*(LN((1-E25)/E25))^-1*LN((E27-D27)/(E27-E26))*LN(D64/(1-D64))-((1-2*E25)*(LN((1-E25)/E25)))^-1*LN(((E27-D27)*(E27-E26))/(E27-F26)^2)*(D64-0.5)*LN(D64/(1-D64)))),IF(F25="b",((1/2)*(LN((1-E25)/E25))^-1*LN(((D27-D26)/(E27-D27))/((E26-D26)/(E27-E26)))/(D64*(1-D64))+((1-2*E25)*(LN((1-E25)/E25)))^-1*LN((((D27-D26)/(E27-D27))*((E26-D26)/(E27-E26)))/((F26-D26)/(E27-F26))^2)*((D64-0.5)/(D64*(1-D64))+LN(D64/(1-D64))))^(-1)*(1+EXP(LN((F26-D26)/(E27-F26))+(1/2)*(LN((1-E25)/E25))^-1*LN(((D27-D26)/(E27-D27))/((E26-D26)/(E27-E26)))*LN(D64/(1-D64))+((1-2*E25)*(LN((1-E25)/E25)))^-1*LN((((D27-D26)/(E27-D27))*((E26-D26)/(E27-E26)))/((F26-D26)/(E27-F26))^2)*(D64-0.5)*LN(D64/(1-D64))))^2/((E27-D26)*EXP(LN((F26-D26)/(E27-F26))+(1/2)*(LN((1-E25)/E25))^-1*LN(((D27-D26)/(E27-D27))/((E26-D26)/(E27-E26)))*LN(D64/(1-D64))+((1-2*E25)*(LN((1-E25)/E25)))^-1*LN((((D27-D26)/(E27-D27))*((E26-D26)/(E27-E26)))/((F26-D26)/(E27-F26))^2)*(D64-0.5)*LN(D64/(1-D64)))),NA())))))</f>
        <v>2.8379610841628339E-2</v>
      </c>
      <c r="H64" s="72">
        <v>28</v>
      </c>
      <c r="I64" s="69">
        <f t="shared" si="0"/>
        <v>26.030595107411322</v>
      </c>
      <c r="J64" s="70">
        <f t="shared" si="1"/>
        <v>27</v>
      </c>
      <c r="K64" s="71">
        <f t="shared" si="2"/>
        <v>2.8130734131148909E-2</v>
      </c>
    </row>
    <row r="65" spans="4:11" x14ac:dyDescent="0.35">
      <c r="D65" s="47">
        <f>IF(F27&lt;&gt;"",NA(),(ROW()-ROW(D40))/100)</f>
        <v>0.25</v>
      </c>
      <c r="E65" s="48">
        <f>IF(F27&lt;&gt;"",NA(),IF(F25="u",F26+(1/2)*(LN((1-E25)/E25))^-1*(D27-E26)*LN(D65/(1-D65))+((1-2*E25)*(LN((1-E25)/E25)))^-1*(1-2*(F26-E26)/(D27-E26))*(D27-E26)*(D65-0.5)*LN(D65/(1-D65)),IF(F25="sl",D26+EXP(LN(F26-D26)+(1/2)*(LN((1-E25)/E25))^-1*LN((D27-D26)/(E26-D26))*LN(D65/(1-D65))+((1-2*E25)*(LN((1-E25)/E25)))^-1*LN(((D27-D26)*(E26-D26))/(F26-D26)^2)*(D65-0.5)*LN(D65/(1-D65))),IF(F25="su",E27-EXP(-(-LN(E27-F26)-(1/2)*(LN((1-E25)/E25))^-1*LN((E27-D27)/(E27-E26))*LN(D65/(1-D65))-((1-2*E25)*(LN((1-E25)/E25)))^-1*LN(((E27-D27)*(E27-E26))/(E27-F26)^2)*(D65-0.5)*LN(D65/(1-D65)))),IF(F25="b",(D26+E27*EXP(LN((F26-D26)/(E27-F26))+(1/2)*(LN((1-E25)/E25))^-1*LN(((D27-D26)/(E27-D27))/((E26-D26)/(E27-E26)))*LN(D65/(1-D65))+((1-2*E25)*(LN((1-E25)/E25)))^-1*LN((((D27-D26)/(E27-D27))*((E26-D26)/(E27-E26)))/((F26-D26)/(E27-F26))^2)*(D65-0.5)*LN(D65/(1-D65))))/(1+EXP(LN((F26-D26)/(E27-F26))+(1/2)*(LN((1-E25)/E25))^-1*LN(((D27-D26)/(E27-D27))/((E26-D26)/(E27-E26)))*LN(D65/(1-D65))+((1-2*E25)*(LN((1-E25)/E25)))^-1*LN((((D27-D26)/(E27-D27))*((E26-D26)/(E27-E26)))/((F26-D26)/(E27-F26))^2)*(D65-0.5)*LN(D65/(1-D65)))),NA())))))</f>
        <v>26.5625</v>
      </c>
      <c r="F65" s="49">
        <f>IF(F27&lt;&gt;"",NA(),IF(F25="u",((1/2)*(LN((1-E25)/E25))^-1*(D27-E26)/(D65*(1-D65))+((1-2*E25)*(LN((1-E25)/E25)))^-1*(1-2*(F26-E26)/(D27-E26))*(D27-E26)*((D65-0.5)/(D65*(1-D65))+LN(D65/(1-D65))))^(-1),IF(F25="sl",((1/2)*(LN((1-E25)/E25))^-1*LN((D27-D26)/(E26-D26))/(D65*(1-D65))+((1-2*E25)*(LN((1-E25)/E25)))^-1*LN(((D27-D26)*(E26-D26))/(F26-D26)^2)*((D65-0.5)/(D65*(1-D65))+LN(D65/(1-D65))))^(-1)*EXP(-(LN(F26-D26)+(1/2)*(LN((1-E25)/E25))^-1*LN((D27-D26)/(E26-D26))*LN(D65/(1-D65))+((1-2*E25)*(LN((1-E25)/E25)))^-1*LN(((D27-D26)*(E26-D26))/(F26-D26)^2)*(D65-0.5)*LN(D65/(1-D65)))),IF(F25="su",(-(1/2)*(LN((1-E25)/E25))^-1*LN((E27-D27)/(E27-E26))/(D65*(1-D65))-((1-2*E25)*(LN((1-E25)/E25)))^-1*LN(((E27-D27)*(E27-E26))/(E27-F26)^2)*((D65-0.5)/(D65*(1-D65))+LN(D65/(1-D65))))^(-1)*EXP((-LN(E27-F26)-(1/2)*(LN((1-E25)/E25))^-1*LN((E27-D27)/(E27-E26))*LN(D65/(1-D65))-((1-2*E25)*(LN((1-E25)/E25)))^-1*LN(((E27-D27)*(E27-E26))/(E27-F26)^2)*(D65-0.5)*LN(D65/(1-D65)))),IF(F25="b",((1/2)*(LN((1-E25)/E25))^-1*LN(((D27-D26)/(E27-D27))/((E26-D26)/(E27-E26)))/(D65*(1-D65))+((1-2*E25)*(LN((1-E25)/E25)))^-1*LN((((D27-D26)/(E27-D27))*((E26-D26)/(E27-E26)))/((F26-D26)/(E27-F26))^2)*((D65-0.5)/(D65*(1-D65))+LN(D65/(1-D65))))^(-1)*(1+EXP(LN((F26-D26)/(E27-F26))+(1/2)*(LN((1-E25)/E25))^-1*LN(((D27-D26)/(E27-D27))/((E26-D26)/(E27-E26)))*LN(D65/(1-D65))+((1-2*E25)*(LN((1-E25)/E25)))^-1*LN((((D27-D26)/(E27-D27))*((E26-D26)/(E27-E26)))/((F26-D26)/(E27-F26))^2)*(D65-0.5)*LN(D65/(1-D65))))^2/((E27-D26)*EXP(LN((F26-D26)/(E27-F26))+(1/2)*(LN((1-E25)/E25))^-1*LN(((D27-D26)/(E27-D27))/((E26-D26)/(E27-E26)))*LN(D65/(1-D65))+((1-2*E25)*(LN((1-E25)/E25)))^-1*LN((((D27-D26)/(E27-D27))*((E26-D26)/(E27-E26)))/((F26-D26)/(E27-F26))^2)*(D65-0.5)*LN(D65/(1-D65)))),NA())))))</f>
        <v>2.8809506050636879E-2</v>
      </c>
      <c r="H65" s="72">
        <v>29</v>
      </c>
      <c r="I65" s="69">
        <f t="shared" si="0"/>
        <v>27.300655537354409</v>
      </c>
      <c r="J65" s="70">
        <f t="shared" si="1"/>
        <v>31</v>
      </c>
      <c r="K65" s="71">
        <f t="shared" si="2"/>
        <v>2.9555207086174907E-2</v>
      </c>
    </row>
    <row r="66" spans="4:11" x14ac:dyDescent="0.35">
      <c r="D66" s="47">
        <f>IF(F27&lt;&gt;"",NA(),(ROW()-ROW(D40))/100)</f>
        <v>0.26</v>
      </c>
      <c r="E66" s="48">
        <f>IF(F27&lt;&gt;"",NA(),IF(F25="u",F26+(1/2)*(LN((1-E25)/E25))^-1*(D27-E26)*LN(D66/(1-D66))+((1-2*E25)*(LN((1-E25)/E25)))^-1*(1-2*(F26-E26)/(D27-E26))*(D27-E26)*(D66-0.5)*LN(D66/(1-D66)),IF(F25="sl",D26+EXP(LN(F26-D26)+(1/2)*(LN((1-E25)/E25))^-1*LN((D27-D26)/(E26-D26))*LN(D66/(1-D66))+((1-2*E25)*(LN((1-E25)/E25)))^-1*LN(((D27-D26)*(E26-D26))/(F26-D26)^2)*(D66-0.5)*LN(D66/(1-D66))),IF(F25="su",E27-EXP(-(-LN(E27-F26)-(1/2)*(LN((1-E25)/E25))^-1*LN((E27-D27)/(E27-E26))*LN(D66/(1-D66))-((1-2*E25)*(LN((1-E25)/E25)))^-1*LN(((E27-D27)*(E27-E26))/(E27-F26)^2)*(D66-0.5)*LN(D66/(1-D66)))),IF(F25="b",(D26+E27*EXP(LN((F26-D26)/(E27-F26))+(1/2)*(LN((1-E25)/E25))^-1*LN(((D27-D26)/(E27-D27))/((E26-D26)/(E27-E26)))*LN(D66/(1-D66))+((1-2*E25)*(LN((1-E25)/E25)))^-1*LN((((D27-D26)/(E27-D27))*((E26-D26)/(E27-E26)))/((F26-D26)/(E27-F26))^2)*(D66-0.5)*LN(D66/(1-D66))))/(1+EXP(LN((F26-D26)/(E27-F26))+(1/2)*(LN((1-E25)/E25))^-1*LN(((D27-D26)/(E27-D27))/((E26-D26)/(E27-E26)))*LN(D66/(1-D66))+((1-2*E25)*(LN((1-E25)/E25)))^-1*LN((((D27-D26)/(E27-D27))*((E26-D26)/(E27-E26)))/((F26-D26)/(E27-F26))^2)*(D66-0.5)*LN(D66/(1-D66)))),NA())))))</f>
        <v>26.907306325663424</v>
      </c>
      <c r="F66" s="49">
        <f>IF(F27&lt;&gt;"",NA(),IF(F25="u",((1/2)*(LN((1-E25)/E25))^-1*(D27-E26)/(D66*(1-D66))+((1-2*E25)*(LN((1-E25)/E25)))^-1*(1-2*(F26-E26)/(D27-E26))*(D27-E26)*((D66-0.5)/(D66*(1-D66))+LN(D66/(1-D66))))^(-1),IF(F25="sl",((1/2)*(LN((1-E25)/E25))^-1*LN((D27-D26)/(E26-D26))/(D66*(1-D66))+((1-2*E25)*(LN((1-E25)/E25)))^-1*LN(((D27-D26)*(E26-D26))/(F26-D26)^2)*((D66-0.5)/(D66*(1-D66))+LN(D66/(1-D66))))^(-1)*EXP(-(LN(F26-D26)+(1/2)*(LN((1-E25)/E25))^-1*LN((D27-D26)/(E26-D26))*LN(D66/(1-D66))+((1-2*E25)*(LN((1-E25)/E25)))^-1*LN(((D27-D26)*(E26-D26))/(F26-D26)^2)*(D66-0.5)*LN(D66/(1-D66)))),IF(F25="su",(-(1/2)*(LN((1-E25)/E25))^-1*LN((E27-D27)/(E27-E26))/(D66*(1-D66))-((1-2*E25)*(LN((1-E25)/E25)))^-1*LN(((E27-D27)*(E27-E26))/(E27-F26)^2)*((D66-0.5)/(D66*(1-D66))+LN(D66/(1-D66))))^(-1)*EXP((-LN(E27-F26)-(1/2)*(LN((1-E25)/E25))^-1*LN((E27-D27)/(E27-E26))*LN(D66/(1-D66))-((1-2*E25)*(LN((1-E25)/E25)))^-1*LN(((E27-D27)*(E27-E26))/(E27-F26)^2)*(D66-0.5)*LN(D66/(1-D66)))),IF(F25="b",((1/2)*(LN((1-E25)/E25))^-1*LN(((D27-D26)/(E27-D27))/((E26-D26)/(E27-E26)))/(D66*(1-D66))+((1-2*E25)*(LN((1-E25)/E25)))^-1*LN((((D27-D26)/(E27-D27))*((E26-D26)/(E27-E26)))/((F26-D26)/(E27-F26))^2)*((D66-0.5)/(D66*(1-D66))+LN(D66/(1-D66))))^(-1)*(1+EXP(LN((F26-D26)/(E27-F26))+(1/2)*(LN((1-E25)/E25))^-1*LN(((D27-D26)/(E27-D27))/((E26-D26)/(E27-E26)))*LN(D66/(1-D66))+((1-2*E25)*(LN((1-E25)/E25)))^-1*LN((((D27-D26)/(E27-D27))*((E26-D26)/(E27-E26)))/((F26-D26)/(E27-F26))^2)*(D66-0.5)*LN(D66/(1-D66))))^2/((E27-D26)*EXP(LN((F26-D26)/(E27-F26))+(1/2)*(LN((1-E25)/E25))^-1*LN(((D27-D26)/(E27-D27))/((E26-D26)/(E27-E26)))*LN(D66/(1-D66))+((1-2*E25)*(LN((1-E25)/E25)))^-1*LN((((D27-D26)/(E27-D27))*((E26-D26)/(E27-E26)))/((F26-D26)/(E27-F26))^2)*(D66-0.5)*LN(D66/(1-D66)))),NA())))))</f>
        <v>2.9186205646427363E-2</v>
      </c>
      <c r="H66" s="72">
        <v>30</v>
      </c>
      <c r="I66" s="69">
        <f t="shared" si="0"/>
        <v>28.570715967297495</v>
      </c>
      <c r="J66" s="70">
        <f t="shared" si="1"/>
        <v>34</v>
      </c>
      <c r="K66" s="71">
        <f t="shared" si="2"/>
        <v>3.0344876559679445E-2</v>
      </c>
    </row>
    <row r="67" spans="4:11" x14ac:dyDescent="0.35">
      <c r="D67" s="47">
        <f>IF(F27&lt;&gt;"",NA(),(ROW()-ROW(D40))/100)</f>
        <v>0.27</v>
      </c>
      <c r="E67" s="48">
        <f>IF(F27&lt;&gt;"",NA(),IF(F25="u",F26+(1/2)*(LN((1-E25)/E25))^-1*(D27-E26)*LN(D67/(1-D67))+((1-2*E25)*(LN((1-E25)/E25)))^-1*(1-2*(F26-E26)/(D27-E26))*(D27-E26)*(D67-0.5)*LN(D67/(1-D67)),IF(F25="sl",D26+EXP(LN(F26-D26)+(1/2)*(LN((1-E25)/E25))^-1*LN((D27-D26)/(E26-D26))*LN(D67/(1-D67))+((1-2*E25)*(LN((1-E25)/E25)))^-1*LN(((D27-D26)*(E26-D26))/(F26-D26)^2)*(D67-0.5)*LN(D67/(1-D67))),IF(F25="su",E27-EXP(-(-LN(E27-F26)-(1/2)*(LN((1-E25)/E25))^-1*LN((E27-D27)/(E27-E26))*LN(D67/(1-D67))-((1-2*E25)*(LN((1-E25)/E25)))^-1*LN(((E27-D27)*(E27-E26))/(E27-F26)^2)*(D67-0.5)*LN(D67/(1-D67)))),IF(F25="b",(D26+E27*EXP(LN((F26-D26)/(E27-F26))+(1/2)*(LN((1-E25)/E25))^-1*LN(((D27-D26)/(E27-D27))/((E26-D26)/(E27-E26)))*LN(D67/(1-D67))+((1-2*E25)*(LN((1-E25)/E25)))^-1*LN((((D27-D26)/(E27-D27))*((E26-D26)/(E27-E26)))/((F26-D26)/(E27-F26))^2)*(D67-0.5)*LN(D67/(1-D67))))/(1+EXP(LN((F26-D26)/(E27-F26))+(1/2)*(LN((1-E25)/E25))^-1*LN(((D27-D26)/(E27-D27))/((E26-D26)/(E27-E26)))*LN(D67/(1-D67))+((1-2*E25)*(LN((1-E25)/E25)))^-1*LN((((D27-D26)/(E27-D27))*((E26-D26)/(E27-E26)))/((F26-D26)/(E27-F26))^2)*(D67-0.5)*LN(D67/(1-D67)))),NA())))))</f>
        <v>27.247987859305795</v>
      </c>
      <c r="F67" s="49">
        <f>IF(F27&lt;&gt;"",NA(),IF(F25="u",((1/2)*(LN((1-E25)/E25))^-1*(D27-E26)/(D67*(1-D67))+((1-2*E25)*(LN((1-E25)/E25)))^-1*(1-2*(F26-E26)/(D27-E26))*(D27-E26)*((D67-0.5)/(D67*(1-D67))+LN(D67/(1-D67))))^(-1),IF(F25="sl",((1/2)*(LN((1-E25)/E25))^-1*LN((D27-D26)/(E26-D26))/(D67*(1-D67))+((1-2*E25)*(LN((1-E25)/E25)))^-1*LN(((D27-D26)*(E26-D26))/(F26-D26)^2)*((D67-0.5)/(D67*(1-D67))+LN(D67/(1-D67))))^(-1)*EXP(-(LN(F26-D26)+(1/2)*(LN((1-E25)/E25))^-1*LN((D27-D26)/(E26-D26))*LN(D67/(1-D67))+((1-2*E25)*(LN((1-E25)/E25)))^-1*LN(((D27-D26)*(E26-D26))/(F26-D26)^2)*(D67-0.5)*LN(D67/(1-D67)))),IF(F25="su",(-(1/2)*(LN((1-E25)/E25))^-1*LN((E27-D27)/(E27-E26))/(D67*(1-D67))-((1-2*E25)*(LN((1-E25)/E25)))^-1*LN(((E27-D27)*(E27-E26))/(E27-F26)^2)*((D67-0.5)/(D67*(1-D67))+LN(D67/(1-D67))))^(-1)*EXP((-LN(E27-F26)-(1/2)*(LN((1-E25)/E25))^-1*LN((E27-D27)/(E27-E26))*LN(D67/(1-D67))-((1-2*E25)*(LN((1-E25)/E25)))^-1*LN(((E27-D27)*(E27-E26))/(E27-F26)^2)*(D67-0.5)*LN(D67/(1-D67)))),IF(F25="b",((1/2)*(LN((1-E25)/E25))^-1*LN(((D27-D26)/(E27-D27))/((E26-D26)/(E27-E26)))/(D67*(1-D67))+((1-2*E25)*(LN((1-E25)/E25)))^-1*LN((((D27-D26)/(E27-D27))*((E26-D26)/(E27-E26)))/((F26-D26)/(E27-F26))^2)*((D67-0.5)/(D67*(1-D67))+LN(D67/(1-D67))))^(-1)*(1+EXP(LN((F26-D26)/(E27-F26))+(1/2)*(LN((1-E25)/E25))^-1*LN(((D27-D26)/(E27-D27))/((E26-D26)/(E27-E26)))*LN(D67/(1-D67))+((1-2*E25)*(LN((1-E25)/E25)))^-1*LN((((D27-D26)/(E27-D27))*((E26-D26)/(E27-E26)))/((F26-D26)/(E27-F26))^2)*(D67-0.5)*LN(D67/(1-D67))))^2/((E27-D26)*EXP(LN((F26-D26)/(E27-F26))+(1/2)*(LN((1-E25)/E25))^-1*LN(((D27-D26)/(E27-D27))/((E26-D26)/(E27-E26)))*LN(D67/(1-D67))+((1-2*E25)*(LN((1-E25)/E25)))^-1*LN((((D27-D26)/(E27-D27))*((E26-D26)/(E27-E26)))/((F26-D26)/(E27-F26))^2)*(D67-0.5)*LN(D67/(1-D67)))),NA())))))</f>
        <v>2.9511942799407442E-2</v>
      </c>
      <c r="H67" s="72">
        <v>31</v>
      </c>
      <c r="I67" s="69">
        <f t="shared" si="0"/>
        <v>29.840776397240582</v>
      </c>
      <c r="J67" s="70">
        <f t="shared" si="1"/>
        <v>38</v>
      </c>
      <c r="K67" s="71">
        <f t="shared" si="2"/>
        <v>3.0546370568808583E-2</v>
      </c>
    </row>
    <row r="68" spans="4:11" x14ac:dyDescent="0.35">
      <c r="D68" s="47">
        <f>IF(F27&lt;&gt;"",NA(),(ROW()-ROW(D40))/100)</f>
        <v>0.28000000000000003</v>
      </c>
      <c r="E68" s="48">
        <f>IF(F27&lt;&gt;"",NA(),IF(F25="u",F26+(1/2)*(LN((1-E25)/E25))^-1*(D27-E26)*LN(D68/(1-D68))+((1-2*E25)*(LN((1-E25)/E25)))^-1*(1-2*(F26-E26)/(D27-E26))*(D27-E26)*(D68-0.5)*LN(D68/(1-D68)),IF(F25="sl",D26+EXP(LN(F26-D26)+(1/2)*(LN((1-E25)/E25))^-1*LN((D27-D26)/(E26-D26))*LN(D68/(1-D68))+((1-2*E25)*(LN((1-E25)/E25)))^-1*LN(((D27-D26)*(E26-D26))/(F26-D26)^2)*(D68-0.5)*LN(D68/(1-D68))),IF(F25="su",E27-EXP(-(-LN(E27-F26)-(1/2)*(LN((1-E25)/E25))^-1*LN((E27-D27)/(E27-E26))*LN(D68/(1-D68))-((1-2*E25)*(LN((1-E25)/E25)))^-1*LN(((E27-D27)*(E27-E26))/(E27-F26)^2)*(D68-0.5)*LN(D68/(1-D68)))),IF(F25="b",(D26+E27*EXP(LN((F26-D26)/(E27-F26))+(1/2)*(LN((1-E25)/E25))^-1*LN(((D27-D26)/(E27-D27))/((E26-D26)/(E27-E26)))*LN(D68/(1-D68))+((1-2*E25)*(LN((1-E25)/E25)))^-1*LN((((D27-D26)/(E27-D27))*((E26-D26)/(E27-E26)))/((F26-D26)/(E27-F26))^2)*(D68-0.5)*LN(D68/(1-D68))))/(1+EXP(LN((F26-D26)/(E27-F26))+(1/2)*(LN((1-E25)/E25))^-1*LN(((D27-D26)/(E27-D27))/((E26-D26)/(E27-E26)))*LN(D68/(1-D68))+((1-2*E25)*(LN((1-E25)/E25)))^-1*LN((((D27-D26)/(E27-D27))*((E26-D26)/(E27-E26)))/((F26-D26)/(E27-F26))^2)*(D68-0.5)*LN(D68/(1-D68)))),NA())))))</f>
        <v>27.585208211963447</v>
      </c>
      <c r="F68" s="49">
        <f>IF(F27&lt;&gt;"",NA(),IF(F25="u",((1/2)*(LN((1-E25)/E25))^-1*(D27-E26)/(D68*(1-D68))+((1-2*E25)*(LN((1-E25)/E25)))^-1*(1-2*(F26-E26)/(D27-E26))*(D27-E26)*((D68-0.5)/(D68*(1-D68))+LN(D68/(1-D68))))^(-1),IF(F25="sl",((1/2)*(LN((1-E25)/E25))^-1*LN((D27-D26)/(E26-D26))/(D68*(1-D68))+((1-2*E25)*(LN((1-E25)/E25)))^-1*LN(((D27-D26)*(E26-D26))/(F26-D26)^2)*((D68-0.5)/(D68*(1-D68))+LN(D68/(1-D68))))^(-1)*EXP(-(LN(F26-D26)+(1/2)*(LN((1-E25)/E25))^-1*LN((D27-D26)/(E26-D26))*LN(D68/(1-D68))+((1-2*E25)*(LN((1-E25)/E25)))^-1*LN(((D27-D26)*(E26-D26))/(F26-D26)^2)*(D68-0.5)*LN(D68/(1-D68)))),IF(F25="su",(-(1/2)*(LN((1-E25)/E25))^-1*LN((E27-D27)/(E27-E26))/(D68*(1-D68))-((1-2*E25)*(LN((1-E25)/E25)))^-1*LN(((E27-D27)*(E27-E26))/(E27-F26)^2)*((D68-0.5)/(D68*(1-D68))+LN(D68/(1-D68))))^(-1)*EXP((-LN(E27-F26)-(1/2)*(LN((1-E25)/E25))^-1*LN((E27-D27)/(E27-E26))*LN(D68/(1-D68))-((1-2*E25)*(LN((1-E25)/E25)))^-1*LN(((E27-D27)*(E27-E26))/(E27-F26)^2)*(D68-0.5)*LN(D68/(1-D68)))),IF(F25="b",((1/2)*(LN((1-E25)/E25))^-1*LN(((D27-D26)/(E27-D27))/((E26-D26)/(E27-E26)))/(D68*(1-D68))+((1-2*E25)*(LN((1-E25)/E25)))^-1*LN((((D27-D26)/(E27-D27))*((E26-D26)/(E27-E26)))/((F26-D26)/(E27-F26))^2)*((D68-0.5)/(D68*(1-D68))+LN(D68/(1-D68))))^(-1)*(1+EXP(LN((F26-D26)/(E27-F26))+(1/2)*(LN((1-E25)/E25))^-1*LN(((D27-D26)/(E27-D27))/((E26-D26)/(E27-E26)))*LN(D68/(1-D68))+((1-2*E25)*(LN((1-E25)/E25)))^-1*LN((((D27-D26)/(E27-D27))*((E26-D26)/(E27-E26)))/((F26-D26)/(E27-F26))^2)*(D68-0.5)*LN(D68/(1-D68))))^2/((E27-D26)*EXP(LN((F26-D26)/(E27-F26))+(1/2)*(LN((1-E25)/E25))^-1*LN(((D27-D26)/(E27-D27))/((E26-D26)/(E27-E26)))*LN(D68/(1-D68))+((1-2*E25)*(LN((1-E25)/E25)))^-1*LN((((D27-D26)/(E27-D27))*((E26-D26)/(E27-E26)))/((F26-D26)/(E27-F26))^2)*(D68-0.5)*LN(D68/(1-D68)))),NA())))))</f>
        <v>2.9788955164139746E-2</v>
      </c>
      <c r="H68" s="72">
        <v>32</v>
      </c>
      <c r="I68" s="69">
        <f t="shared" si="0"/>
        <v>31.110836827183668</v>
      </c>
      <c r="J68" s="70">
        <f t="shared" si="1"/>
        <v>42</v>
      </c>
      <c r="K68" s="71">
        <f t="shared" si="2"/>
        <v>3.0260349216617154E-2</v>
      </c>
    </row>
    <row r="69" spans="4:11" x14ac:dyDescent="0.35">
      <c r="D69" s="47">
        <f>IF(F27&lt;&gt;"",NA(),(ROW()-ROW(D40))/100)</f>
        <v>0.28999999999999998</v>
      </c>
      <c r="E69" s="48">
        <f>IF(F27&lt;&gt;"",NA(),IF(F25="u",F26+(1/2)*(LN((1-E25)/E25))^-1*(D27-E26)*LN(D69/(1-D69))+((1-2*E25)*(LN((1-E25)/E25)))^-1*(1-2*(F26-E26)/(D27-E26))*(D27-E26)*(D69-0.5)*LN(D69/(1-D69)),IF(F25="sl",D26+EXP(LN(F26-D26)+(1/2)*(LN((1-E25)/E25))^-1*LN((D27-D26)/(E26-D26))*LN(D69/(1-D69))+((1-2*E25)*(LN((1-E25)/E25)))^-1*LN(((D27-D26)*(E26-D26))/(F26-D26)^2)*(D69-0.5)*LN(D69/(1-D69))),IF(F25="su",E27-EXP(-(-LN(E27-F26)-(1/2)*(LN((1-E25)/E25))^-1*LN((E27-D27)/(E27-E26))*LN(D69/(1-D69))-((1-2*E25)*(LN((1-E25)/E25)))^-1*LN(((E27-D27)*(E27-E26))/(E27-F26)^2)*(D69-0.5)*LN(D69/(1-D69)))),IF(F25="b",(D26+E27*EXP(LN((F26-D26)/(E27-F26))+(1/2)*(LN((1-E25)/E25))^-1*LN(((D27-D26)/(E27-D27))/((E26-D26)/(E27-E26)))*LN(D69/(1-D69))+((1-2*E25)*(LN((1-E25)/E25)))^-1*LN((((D27-D26)/(E27-D27))*((E26-D26)/(E27-E26)))/((F26-D26)/(E27-F26))^2)*(D69-0.5)*LN(D69/(1-D69))))/(1+EXP(LN((F26-D26)/(E27-F26))+(1/2)*(LN((1-E25)/E25))^-1*LN(((D27-D26)/(E27-D27))/((E26-D26)/(E27-E26)))*LN(D69/(1-D69))+((1-2*E25)*(LN((1-E25)/E25)))^-1*LN((((D27-D26)/(E27-D27))*((E26-D26)/(E27-E26)))/((F26-D26)/(E27-F26))^2)*(D69-0.5)*LN(D69/(1-D69)))),NA())))))</f>
        <v>27.919568633062273</v>
      </c>
      <c r="F69" s="49">
        <f>IF(F27&lt;&gt;"",NA(),IF(F25="u",((1/2)*(LN((1-E25)/E25))^-1*(D27-E26)/(D69*(1-D69))+((1-2*E25)*(LN((1-E25)/E25)))^-1*(1-2*(F26-E26)/(D27-E26))*(D27-E26)*((D69-0.5)/(D69*(1-D69))+LN(D69/(1-D69))))^(-1),IF(F25="sl",((1/2)*(LN((1-E25)/E25))^-1*LN((D27-D26)/(E26-D26))/(D69*(1-D69))+((1-2*E25)*(LN((1-E25)/E25)))^-1*LN(((D27-D26)*(E26-D26))/(F26-D26)^2)*((D69-0.5)/(D69*(1-D69))+LN(D69/(1-D69))))^(-1)*EXP(-(LN(F26-D26)+(1/2)*(LN((1-E25)/E25))^-1*LN((D27-D26)/(E26-D26))*LN(D69/(1-D69))+((1-2*E25)*(LN((1-E25)/E25)))^-1*LN(((D27-D26)*(E26-D26))/(F26-D26)^2)*(D69-0.5)*LN(D69/(1-D69)))),IF(F25="su",(-(1/2)*(LN((1-E25)/E25))^-1*LN((E27-D27)/(E27-E26))/(D69*(1-D69))-((1-2*E25)*(LN((1-E25)/E25)))^-1*LN(((E27-D27)*(E27-E26))/(E27-F26)^2)*((D69-0.5)/(D69*(1-D69))+LN(D69/(1-D69))))^(-1)*EXP((-LN(E27-F26)-(1/2)*(LN((1-E25)/E25))^-1*LN((E27-D27)/(E27-E26))*LN(D69/(1-D69))-((1-2*E25)*(LN((1-E25)/E25)))^-1*LN(((E27-D27)*(E27-E26))/(E27-F26)^2)*(D69-0.5)*LN(D69/(1-D69)))),IF(F25="b",((1/2)*(LN((1-E25)/E25))^-1*LN(((D27-D26)/(E27-D27))/((E26-D26)/(E27-E26)))/(D69*(1-D69))+((1-2*E25)*(LN((1-E25)/E25)))^-1*LN((((D27-D26)/(E27-D27))*((E26-D26)/(E27-E26)))/((F26-D26)/(E27-F26))^2)*((D69-0.5)/(D69*(1-D69))+LN(D69/(1-D69))))^(-1)*(1+EXP(LN((F26-D26)/(E27-F26))+(1/2)*(LN((1-E25)/E25))^-1*LN(((D27-D26)/(E27-D27))/((E26-D26)/(E27-E26)))*LN(D69/(1-D69))+((1-2*E25)*(LN((1-E25)/E25)))^-1*LN((((D27-D26)/(E27-D27))*((E26-D26)/(E27-E26)))/((F26-D26)/(E27-F26))^2)*(D69-0.5)*LN(D69/(1-D69))))^2/((E27-D26)*EXP(LN((F26-D26)/(E27-F26))+(1/2)*(LN((1-E25)/E25))^-1*LN(((D27-D26)/(E27-D27))/((E26-D26)/(E27-E26)))*LN(D69/(1-D69))+((1-2*E25)*(LN((1-E25)/E25)))^-1*LN((((D27-D26)/(E27-D27))*((E26-D26)/(E27-E26)))/((F26-D26)/(E27-F26))^2)*(D69-0.5)*LN(D69/(1-D69)))),NA())))))</f>
        <v>3.0019467244179029E-2</v>
      </c>
      <c r="H69" s="72">
        <v>33</v>
      </c>
      <c r="I69" s="69">
        <f t="shared" si="0"/>
        <v>32.380897257126755</v>
      </c>
      <c r="J69" s="70">
        <f t="shared" si="1"/>
        <v>46</v>
      </c>
      <c r="K69" s="71">
        <f t="shared" si="2"/>
        <v>2.9596983843053447E-2</v>
      </c>
    </row>
    <row r="70" spans="4:11" x14ac:dyDescent="0.35">
      <c r="D70" s="47">
        <f>IF(F27&lt;&gt;"",NA(),(ROW()-ROW(D40))/100)</f>
        <v>0.3</v>
      </c>
      <c r="E70" s="48">
        <f>IF(F27&lt;&gt;"",NA(),IF(F25="u",F26+(1/2)*(LN((1-E25)/E25))^-1*(D27-E26)*LN(D70/(1-D70))+((1-2*E25)*(LN((1-E25)/E25)))^-1*(1-2*(F26-E26)/(D27-E26))*(D27-E26)*(D70-0.5)*LN(D70/(1-D70)),IF(F25="sl",D26+EXP(LN(F26-D26)+(1/2)*(LN((1-E25)/E25))^-1*LN((D27-D26)/(E26-D26))*LN(D70/(1-D70))+((1-2*E25)*(LN((1-E25)/E25)))^-1*LN(((D27-D26)*(E26-D26))/(F26-D26)^2)*(D70-0.5)*LN(D70/(1-D70))),IF(F25="su",E27-EXP(-(-LN(E27-F26)-(1/2)*(LN((1-E25)/E25))^-1*LN((E27-D27)/(E27-E26))*LN(D70/(1-D70))-((1-2*E25)*(LN((1-E25)/E25)))^-1*LN(((E27-D27)*(E27-E26))/(E27-F26)^2)*(D70-0.5)*LN(D70/(1-D70)))),IF(F25="b",(D26+E27*EXP(LN((F26-D26)/(E27-F26))+(1/2)*(LN((1-E25)/E25))^-1*LN(((D27-D26)/(E27-D27))/((E26-D26)/(E27-E26)))*LN(D70/(1-D70))+((1-2*E25)*(LN((1-E25)/E25)))^-1*LN((((D27-D26)/(E27-D27))*((E26-D26)/(E27-E26)))/((F26-D26)/(E27-F26))^2)*(D70-0.5)*LN(D70/(1-D70))))/(1+EXP(LN((F26-D26)/(E27-F26))+(1/2)*(LN((1-E25)/E25))^-1*LN(((D27-D26)/(E27-D27))/((E26-D26)/(E27-E26)))*LN(D70/(1-D70))+((1-2*E25)*(LN((1-E25)/E25)))^-1*LN((((D27-D26)/(E27-D27))*((E26-D26)/(E27-E26)))/((F26-D26)/(E27-F26))^2)*(D70-0.5)*LN(D70/(1-D70)))),NA())))))</f>
        <v>28.251617194837557</v>
      </c>
      <c r="F70" s="49">
        <f>IF(F27&lt;&gt;"",NA(),IF(F25="u",((1/2)*(LN((1-E25)/E25))^-1*(D27-E26)/(D70*(1-D70))+((1-2*E25)*(LN((1-E25)/E25)))^-1*(1-2*(F26-E26)/(D27-E26))*(D27-E26)*((D70-0.5)/(D70*(1-D70))+LN(D70/(1-D70))))^(-1),IF(F25="sl",((1/2)*(LN((1-E25)/E25))^-1*LN((D27-D26)/(E26-D26))/(D70*(1-D70))+((1-2*E25)*(LN((1-E25)/E25)))^-1*LN(((D27-D26)*(E26-D26))/(F26-D26)^2)*((D70-0.5)/(D70*(1-D70))+LN(D70/(1-D70))))^(-1)*EXP(-(LN(F26-D26)+(1/2)*(LN((1-E25)/E25))^-1*LN((D27-D26)/(E26-D26))*LN(D70/(1-D70))+((1-2*E25)*(LN((1-E25)/E25)))^-1*LN(((D27-D26)*(E26-D26))/(F26-D26)^2)*(D70-0.5)*LN(D70/(1-D70)))),IF(F25="su",(-(1/2)*(LN((1-E25)/E25))^-1*LN((E27-D27)/(E27-E26))/(D70*(1-D70))-((1-2*E25)*(LN((1-E25)/E25)))^-1*LN(((E27-D27)*(E27-E26))/(E27-F26)^2)*((D70-0.5)/(D70*(1-D70))+LN(D70/(1-D70))))^(-1)*EXP((-LN(E27-F26)-(1/2)*(LN((1-E25)/E25))^-1*LN((E27-D27)/(E27-E26))*LN(D70/(1-D70))-((1-2*E25)*(LN((1-E25)/E25)))^-1*LN(((E27-D27)*(E27-E26))/(E27-F26)^2)*(D70-0.5)*LN(D70/(1-D70)))),IF(F25="b",((1/2)*(LN((1-E25)/E25))^-1*LN(((D27-D26)/(E27-D27))/((E26-D26)/(E27-E26)))/(D70*(1-D70))+((1-2*E25)*(LN((1-E25)/E25)))^-1*LN((((D27-D26)/(E27-D27))*((E26-D26)/(E27-E26)))/((F26-D26)/(E27-F26))^2)*((D70-0.5)/(D70*(1-D70))+LN(D70/(1-D70))))^(-1)*(1+EXP(LN((F26-D26)/(E27-F26))+(1/2)*(LN((1-E25)/E25))^-1*LN(((D27-D26)/(E27-D27))/((E26-D26)/(E27-E26)))*LN(D70/(1-D70))+((1-2*E25)*(LN((1-E25)/E25)))^-1*LN((((D27-D26)/(E27-D27))*((E26-D26)/(E27-E26)))/((F26-D26)/(E27-F26))^2)*(D70-0.5)*LN(D70/(1-D70))))^2/((E27-D26)*EXP(LN((F26-D26)/(E27-F26))+(1/2)*(LN((1-E25)/E25))^-1*LN(((D27-D26)/(E27-D27))/((E26-D26)/(E27-E26)))*LN(D70/(1-D70))+((1-2*E25)*(LN((1-E25)/E25)))^-1*LN((((D27-D26)/(E27-D27))*((E26-D26)/(E27-E26)))/((F26-D26)/(E27-F26))^2)*(D70-0.5)*LN(D70/(1-D70)))),NA())))))</f>
        <v>3.0205675570385251E-2</v>
      </c>
      <c r="H70" s="72">
        <v>34</v>
      </c>
      <c r="I70" s="69">
        <f t="shared" si="0"/>
        <v>33.650957687069841</v>
      </c>
      <c r="J70" s="70">
        <f t="shared" si="1"/>
        <v>50</v>
      </c>
      <c r="K70" s="71">
        <f t="shared" si="2"/>
        <v>2.8661018568346752E-2</v>
      </c>
    </row>
    <row r="71" spans="4:11" x14ac:dyDescent="0.35">
      <c r="D71" s="47">
        <f>IF(F27&lt;&gt;"",NA(),(ROW()-ROW(D40))/100)</f>
        <v>0.31</v>
      </c>
      <c r="E71" s="48">
        <f>IF(F27&lt;&gt;"",NA(),IF(F25="u",F26+(1/2)*(LN((1-E25)/E25))^-1*(D27-E26)*LN(D71/(1-D71))+((1-2*E25)*(LN((1-E25)/E25)))^-1*(1-2*(F26-E26)/(D27-E26))*(D27-E26)*(D71-0.5)*LN(D71/(1-D71)),IF(F25="sl",D26+EXP(LN(F26-D26)+(1/2)*(LN((1-E25)/E25))^-1*LN((D27-D26)/(E26-D26))*LN(D71/(1-D71))+((1-2*E25)*(LN((1-E25)/E25)))^-1*LN(((D27-D26)*(E26-D26))/(F26-D26)^2)*(D71-0.5)*LN(D71/(1-D71))),IF(F25="su",E27-EXP(-(-LN(E27-F26)-(1/2)*(LN((1-E25)/E25))^-1*LN((E27-D27)/(E27-E26))*LN(D71/(1-D71))-((1-2*E25)*(LN((1-E25)/E25)))^-1*LN(((E27-D27)*(E27-E26))/(E27-F26)^2)*(D71-0.5)*LN(D71/(1-D71)))),IF(F25="b",(D26+E27*EXP(LN((F26-D26)/(E27-F26))+(1/2)*(LN((1-E25)/E25))^-1*LN(((D27-D26)/(E27-D27))/((E26-D26)/(E27-E26)))*LN(D71/(1-D71))+((1-2*E25)*(LN((1-E25)/E25)))^-1*LN((((D27-D26)/(E27-D27))*((E26-D26)/(E27-E26)))/((F26-D26)/(E27-F26))^2)*(D71-0.5)*LN(D71/(1-D71))))/(1+EXP(LN((F26-D26)/(E27-F26))+(1/2)*(LN((1-E25)/E25))^-1*LN(((D27-D26)/(E27-D27))/((E26-D26)/(E27-E26)))*LN(D71/(1-D71))+((1-2*E25)*(LN((1-E25)/E25)))^-1*LN((((D27-D26)/(E27-D27))*((E26-D26)/(E27-E26)))/((F26-D26)/(E27-F26))^2)*(D71-0.5)*LN(D71/(1-D71)))),NA())))))</f>
        <v>28.581856488437555</v>
      </c>
      <c r="F71" s="49">
        <f>IF(F27&lt;&gt;"",NA(),IF(F25="u",((1/2)*(LN((1-E25)/E25))^-1*(D27-E26)/(D71*(1-D71))+((1-2*E25)*(LN((1-E25)/E25)))^-1*(1-2*(F26-E26)/(D27-E26))*(D27-E26)*((D71-0.5)/(D71*(1-D71))+LN(D71/(1-D71))))^(-1),IF(F25="sl",((1/2)*(LN((1-E25)/E25))^-1*LN((D27-D26)/(E26-D26))/(D71*(1-D71))+((1-2*E25)*(LN((1-E25)/E25)))^-1*LN(((D27-D26)*(E26-D26))/(F26-D26)^2)*((D71-0.5)/(D71*(1-D71))+LN(D71/(1-D71))))^(-1)*EXP(-(LN(F26-D26)+(1/2)*(LN((1-E25)/E25))^-1*LN((D27-D26)/(E26-D26))*LN(D71/(1-D71))+((1-2*E25)*(LN((1-E25)/E25)))^-1*LN(((D27-D26)*(E26-D26))/(F26-D26)^2)*(D71-0.5)*LN(D71/(1-D71)))),IF(F25="su",(-(1/2)*(LN((1-E25)/E25))^-1*LN((E27-D27)/(E27-E26))/(D71*(1-D71))-((1-2*E25)*(LN((1-E25)/E25)))^-1*LN(((E27-D27)*(E27-E26))/(E27-F26)^2)*((D71-0.5)/(D71*(1-D71))+LN(D71/(1-D71))))^(-1)*EXP((-LN(E27-F26)-(1/2)*(LN((1-E25)/E25))^-1*LN((E27-D27)/(E27-E26))*LN(D71/(1-D71))-((1-2*E25)*(LN((1-E25)/E25)))^-1*LN(((E27-D27)*(E27-E26))/(E27-F26)^2)*(D71-0.5)*LN(D71/(1-D71)))),IF(F25="b",((1/2)*(LN((1-E25)/E25))^-1*LN(((D27-D26)/(E27-D27))/((E26-D26)/(E27-E26)))/(D71*(1-D71))+((1-2*E25)*(LN((1-E25)/E25)))^-1*LN((((D27-D26)/(E27-D27))*((E26-D26)/(E27-E26)))/((F26-D26)/(E27-F26))^2)*((D71-0.5)/(D71*(1-D71))+LN(D71/(1-D71))))^(-1)*(1+EXP(LN((F26-D26)/(E27-F26))+(1/2)*(LN((1-E25)/E25))^-1*LN(((D27-D26)/(E27-D27))/((E26-D26)/(E27-E26)))*LN(D71/(1-D71))+((1-2*E25)*(LN((1-E25)/E25)))^-1*LN((((D27-D26)/(E27-D27))*((E26-D26)/(E27-E26)))/((F26-D26)/(E27-F26))^2)*(D71-0.5)*LN(D71/(1-D71))))^2/((E27-D26)*EXP(LN((F26-D26)/(E27-F26))+(1/2)*(LN((1-E25)/E25))^-1*LN(((D27-D26)/(E27-D27))/((E26-D26)/(E27-E26)))*LN(D71/(1-D71))+((1-2*E25)*(LN((1-E25)/E25)))^-1*LN((((D27-D26)/(E27-D27))*((E26-D26)/(E27-E26)))/((F26-D26)/(E27-F26))^2)*(D71-0.5)*LN(D71/(1-D71)))),NA())))))</f>
        <v>3.0349736407782258E-2</v>
      </c>
      <c r="H71" s="72">
        <v>35</v>
      </c>
      <c r="I71" s="69">
        <f t="shared" si="0"/>
        <v>34.921018117012927</v>
      </c>
      <c r="J71" s="70">
        <f t="shared" si="1"/>
        <v>53</v>
      </c>
      <c r="K71" s="71">
        <f t="shared" si="2"/>
        <v>2.7538749987314984E-2</v>
      </c>
    </row>
    <row r="72" spans="4:11" x14ac:dyDescent="0.35">
      <c r="D72" s="47">
        <f>IF(F27&lt;&gt;"",NA(),(ROW()-ROW(D40))/100)</f>
        <v>0.32</v>
      </c>
      <c r="E72" s="48">
        <f>IF(F27&lt;&gt;"",NA(),IF(F25="u",F26+(1/2)*(LN((1-E25)/E25))^-1*(D27-E26)*LN(D72/(1-D72))+((1-2*E25)*(LN((1-E25)/E25)))^-1*(1-2*(F26-E26)/(D27-E26))*(D27-E26)*(D72-0.5)*LN(D72/(1-D72)),IF(F25="sl",D26+EXP(LN(F26-D26)+(1/2)*(LN((1-E25)/E25))^-1*LN((D27-D26)/(E26-D26))*LN(D72/(1-D72))+((1-2*E25)*(LN((1-E25)/E25)))^-1*LN(((D27-D26)*(E26-D26))/(F26-D26)^2)*(D72-0.5)*LN(D72/(1-D72))),IF(F25="su",E27-EXP(-(-LN(E27-F26)-(1/2)*(LN((1-E25)/E25))^-1*LN((E27-D27)/(E27-E26))*LN(D72/(1-D72))-((1-2*E25)*(LN((1-E25)/E25)))^-1*LN(((E27-D27)*(E27-E26))/(E27-F26)^2)*(D72-0.5)*LN(D72/(1-D72)))),IF(F25="b",(D26+E27*EXP(LN((F26-D26)/(E27-F26))+(1/2)*(LN((1-E25)/E25))^-1*LN(((D27-D26)/(E27-D27))/((E26-D26)/(E27-E26)))*LN(D72/(1-D72))+((1-2*E25)*(LN((1-E25)/E25)))^-1*LN((((D27-D26)/(E27-D27))*((E26-D26)/(E27-E26)))/((F26-D26)/(E27-F26))^2)*(D72-0.5)*LN(D72/(1-D72))))/(1+EXP(LN((F26-D26)/(E27-F26))+(1/2)*(LN((1-E25)/E25))^-1*LN(((D27-D26)/(E27-D27))/((E26-D26)/(E27-E26)))*LN(D72/(1-D72))+((1-2*E25)*(LN((1-E25)/E25)))^-1*LN((((D27-D26)/(E27-D27))*((E26-D26)/(E27-E26)))/((F26-D26)/(E27-F26))^2)*(D72-0.5)*LN(D72/(1-D72)))),NA())))))</f>
        <v>28.910750120772285</v>
      </c>
      <c r="F72" s="49">
        <f>IF(F27&lt;&gt;"",NA(),IF(F25="u",((1/2)*(LN((1-E25)/E25))^-1*(D27-E26)/(D72*(1-D72))+((1-2*E25)*(LN((1-E25)/E25)))^-1*(1-2*(F26-E26)/(D27-E26))*(D27-E26)*((D72-0.5)/(D72*(1-D72))+LN(D72/(1-D72))))^(-1),IF(F25="sl",((1/2)*(LN((1-E25)/E25))^-1*LN((D27-D26)/(E26-D26))/(D72*(1-D72))+((1-2*E25)*(LN((1-E25)/E25)))^-1*LN(((D27-D26)*(E26-D26))/(F26-D26)^2)*((D72-0.5)/(D72*(1-D72))+LN(D72/(1-D72))))^(-1)*EXP(-(LN(F26-D26)+(1/2)*(LN((1-E25)/E25))^-1*LN((D27-D26)/(E26-D26))*LN(D72/(1-D72))+((1-2*E25)*(LN((1-E25)/E25)))^-1*LN(((D27-D26)*(E26-D26))/(F26-D26)^2)*(D72-0.5)*LN(D72/(1-D72)))),IF(F25="su",(-(1/2)*(LN((1-E25)/E25))^-1*LN((E27-D27)/(E27-E26))/(D72*(1-D72))-((1-2*E25)*(LN((1-E25)/E25)))^-1*LN(((E27-D27)*(E27-E26))/(E27-F26)^2)*((D72-0.5)/(D72*(1-D72))+LN(D72/(1-D72))))^(-1)*EXP((-LN(E27-F26)-(1/2)*(LN((1-E25)/E25))^-1*LN((E27-D27)/(E27-E26))*LN(D72/(1-D72))-((1-2*E25)*(LN((1-E25)/E25)))^-1*LN(((E27-D27)*(E27-E26))/(E27-F26)^2)*(D72-0.5)*LN(D72/(1-D72)))),IF(F25="b",((1/2)*(LN((1-E25)/E25))^-1*LN(((D27-D26)/(E27-D27))/((E26-D26)/(E27-E26)))/(D72*(1-D72))+((1-2*E25)*(LN((1-E25)/E25)))^-1*LN((((D27-D26)/(E27-D27))*((E26-D26)/(E27-E26)))/((F26-D26)/(E27-F26))^2)*((D72-0.5)/(D72*(1-D72))+LN(D72/(1-D72))))^(-1)*(1+EXP(LN((F26-D26)/(E27-F26))+(1/2)*(LN((1-E25)/E25))^-1*LN(((D27-D26)/(E27-D27))/((E26-D26)/(E27-E26)))*LN(D72/(1-D72))+((1-2*E25)*(LN((1-E25)/E25)))^-1*LN((((D27-D26)/(E27-D27))*((E26-D26)/(E27-E26)))/((F26-D26)/(E27-F26))^2)*(D72-0.5)*LN(D72/(1-D72))))^2/((E27-D26)*EXP(LN((F26-D26)/(E27-F26))+(1/2)*(LN((1-E25)/E25))^-1*LN(((D27-D26)/(E27-D27))/((E26-D26)/(E27-E26)))*LN(D72/(1-D72))+((1-2*E25)*(LN((1-E25)/E25)))^-1*LN((((D27-D26)/(E27-D27))*((E26-D26)/(E27-E26)))/((F26-D26)/(E27-F26))^2)*(D72-0.5)*LN(D72/(1-D72)))),NA())))))</f>
        <v>3.0453755717340728E-2</v>
      </c>
      <c r="H72" s="72">
        <v>36</v>
      </c>
      <c r="I72" s="69">
        <f t="shared" si="0"/>
        <v>36.191078546956014</v>
      </c>
      <c r="J72" s="70">
        <f t="shared" si="1"/>
        <v>57</v>
      </c>
      <c r="K72" s="71">
        <f t="shared" si="2"/>
        <v>2.6300675271713401E-2</v>
      </c>
    </row>
    <row r="73" spans="4:11" x14ac:dyDescent="0.35">
      <c r="D73" s="47">
        <f>IF(F27&lt;&gt;"",NA(),(ROW()-ROW(D40))/100)</f>
        <v>0.33</v>
      </c>
      <c r="E73" s="48">
        <f>IF(F27&lt;&gt;"",NA(),IF(F25="u",F26+(1/2)*(LN((1-E25)/E25))^-1*(D27-E26)*LN(D73/(1-D73))+((1-2*E25)*(LN((1-E25)/E25)))^-1*(1-2*(F26-E26)/(D27-E26))*(D27-E26)*(D73-0.5)*LN(D73/(1-D73)),IF(F25="sl",D26+EXP(LN(F26-D26)+(1/2)*(LN((1-E25)/E25))^-1*LN((D27-D26)/(E26-D26))*LN(D73/(1-D73))+((1-2*E25)*(LN((1-E25)/E25)))^-1*LN(((D27-D26)*(E26-D26))/(F26-D26)^2)*(D73-0.5)*LN(D73/(1-D73))),IF(F25="su",E27-EXP(-(-LN(E27-F26)-(1/2)*(LN((1-E25)/E25))^-1*LN((E27-D27)/(E27-E26))*LN(D73/(1-D73))-((1-2*E25)*(LN((1-E25)/E25)))^-1*LN(((E27-D27)*(E27-E26))/(E27-F26)^2)*(D73-0.5)*LN(D73/(1-D73)))),IF(F25="b",(D26+E27*EXP(LN((F26-D26)/(E27-F26))+(1/2)*(LN((1-E25)/E25))^-1*LN(((D27-D26)/(E27-D27))/((E26-D26)/(E27-E26)))*LN(D73/(1-D73))+((1-2*E25)*(LN((1-E25)/E25)))^-1*LN((((D27-D26)/(E27-D27))*((E26-D26)/(E27-E26)))/((F26-D26)/(E27-F26))^2)*(D73-0.5)*LN(D73/(1-D73))))/(1+EXP(LN((F26-D26)/(E27-F26))+(1/2)*(LN((1-E25)/E25))^-1*LN(((D27-D26)/(E27-D27))/((E26-D26)/(E27-E26)))*LN(D73/(1-D73))+((1-2*E25)*(LN((1-E25)/E25)))^-1*LN((((D27-D26)/(E27-D27))*((E26-D26)/(E27-E26)))/((F26-D26)/(E27-F26))^2)*(D73-0.5)*LN(D73/(1-D73)))),NA())))))</f>
        <v>29.238728238809827</v>
      </c>
      <c r="F73" s="49">
        <f>IF(F27&lt;&gt;"",NA(),IF(F25="u",((1/2)*(LN((1-E25)/E25))^-1*(D27-E26)/(D73*(1-D73))+((1-2*E25)*(LN((1-E25)/E25)))^-1*(1-2*(F26-E26)/(D27-E26))*(D27-E26)*((D73-0.5)/(D73*(1-D73))+LN(D73/(1-D73))))^(-1),IF(F25="sl",((1/2)*(LN((1-E25)/E25))^-1*LN((D27-D26)/(E26-D26))/(D73*(1-D73))+((1-2*E25)*(LN((1-E25)/E25)))^-1*LN(((D27-D26)*(E26-D26))/(F26-D26)^2)*((D73-0.5)/(D73*(1-D73))+LN(D73/(1-D73))))^(-1)*EXP(-(LN(F26-D26)+(1/2)*(LN((1-E25)/E25))^-1*LN((D27-D26)/(E26-D26))*LN(D73/(1-D73))+((1-2*E25)*(LN((1-E25)/E25)))^-1*LN(((D27-D26)*(E26-D26))/(F26-D26)^2)*(D73-0.5)*LN(D73/(1-D73)))),IF(F25="su",(-(1/2)*(LN((1-E25)/E25))^-1*LN((E27-D27)/(E27-E26))/(D73*(1-D73))-((1-2*E25)*(LN((1-E25)/E25)))^-1*LN(((E27-D27)*(E27-E26))/(E27-F26)^2)*((D73-0.5)/(D73*(1-D73))+LN(D73/(1-D73))))^(-1)*EXP((-LN(E27-F26)-(1/2)*(LN((1-E25)/E25))^-1*LN((E27-D27)/(E27-E26))*LN(D73/(1-D73))-((1-2*E25)*(LN((1-E25)/E25)))^-1*LN(((E27-D27)*(E27-E26))/(E27-F26)^2)*(D73-0.5)*LN(D73/(1-D73)))),IF(F25="b",((1/2)*(LN((1-E25)/E25))^-1*LN(((D27-D26)/(E27-D27))/((E26-D26)/(E27-E26)))/(D73*(1-D73))+((1-2*E25)*(LN((1-E25)/E25)))^-1*LN((((D27-D26)/(E27-D27))*((E26-D26)/(E27-E26)))/((F26-D26)/(E27-F26))^2)*((D73-0.5)/(D73*(1-D73))+LN(D73/(1-D73))))^(-1)*(1+EXP(LN((F26-D26)/(E27-F26))+(1/2)*(LN((1-E25)/E25))^-1*LN(((D27-D26)/(E27-D27))/((E26-D26)/(E27-E26)))*LN(D73/(1-D73))+((1-2*E25)*(LN((1-E25)/E25)))^-1*LN((((D27-D26)/(E27-D27))*((E26-D26)/(E27-E26)))/((F26-D26)/(E27-F26))^2)*(D73-0.5)*LN(D73/(1-D73))))^2/((E27-D26)*EXP(LN((F26-D26)/(E27-F26))+(1/2)*(LN((1-E25)/E25))^-1*LN(((D27-D26)/(E27-D27))/((E26-D26)/(E27-E26)))*LN(D73/(1-D73))+((1-2*E25)*(LN((1-E25)/E25)))^-1*LN((((D27-D26)/(E27-D27))*((E26-D26)/(E27-E26)))/((F26-D26)/(E27-F26))^2)*(D73-0.5)*LN(D73/(1-D73)))),NA())))))</f>
        <v>3.0519781113597991E-2</v>
      </c>
      <c r="H73" s="72">
        <v>37</v>
      </c>
      <c r="I73" s="69">
        <f t="shared" si="0"/>
        <v>37.4611389768991</v>
      </c>
      <c r="J73" s="70">
        <f t="shared" si="1"/>
        <v>60</v>
      </c>
      <c r="K73" s="71">
        <f t="shared" si="2"/>
        <v>2.4998728394135864E-2</v>
      </c>
    </row>
    <row r="74" spans="4:11" x14ac:dyDescent="0.35">
      <c r="D74" s="47">
        <f>IF(F27&lt;&gt;"",NA(),(ROW()-ROW(D40))/100)</f>
        <v>0.34</v>
      </c>
      <c r="E74" s="48">
        <f>IF(F27&lt;&gt;"",NA(),IF(F25="u",F26+(1/2)*(LN((1-E25)/E25))^-1*(D27-E26)*LN(D74/(1-D74))+((1-2*E25)*(LN((1-E25)/E25)))^-1*(1-2*(F26-E26)/(D27-E26))*(D27-E26)*(D74-0.5)*LN(D74/(1-D74)),IF(F25="sl",D26+EXP(LN(F26-D26)+(1/2)*(LN((1-E25)/E25))^-1*LN((D27-D26)/(E26-D26))*LN(D74/(1-D74))+((1-2*E25)*(LN((1-E25)/E25)))^-1*LN(((D27-D26)*(E26-D26))/(F26-D26)^2)*(D74-0.5)*LN(D74/(1-D74))),IF(F25="su",E27-EXP(-(-LN(E27-F26)-(1/2)*(LN((1-E25)/E25))^-1*LN((E27-D27)/(E27-E26))*LN(D74/(1-D74))-((1-2*E25)*(LN((1-E25)/E25)))^-1*LN(((E27-D27)*(E27-E26))/(E27-F26)^2)*(D74-0.5)*LN(D74/(1-D74)))),IF(F25="b",(D26+E27*EXP(LN((F26-D26)/(E27-F26))+(1/2)*(LN((1-E25)/E25))^-1*LN(((D27-D26)/(E27-D27))/((E26-D26)/(E27-E26)))*LN(D74/(1-D74))+((1-2*E25)*(LN((1-E25)/E25)))^-1*LN((((D27-D26)/(E27-D27))*((E26-D26)/(E27-E26)))/((F26-D26)/(E27-F26))^2)*(D74-0.5)*LN(D74/(1-D74))))/(1+EXP(LN((F26-D26)/(E27-F26))+(1/2)*(LN((1-E25)/E25))^-1*LN(((D27-D26)/(E27-D27))/((E26-D26)/(E27-E26)))*LN(D74/(1-D74))+((1-2*E25)*(LN((1-E25)/E25)))^-1*LN((((D27-D26)/(E27-D27))*((E26-D26)/(E27-E26)))/((F26-D26)/(E27-F26))^2)*(D74-0.5)*LN(D74/(1-D74)))),NA())))))</f>
        <v>29.566192260665854</v>
      </c>
      <c r="F74" s="49">
        <f>IF(F27&lt;&gt;"",NA(),IF(F25="u",((1/2)*(LN((1-E25)/E25))^-1*(D27-E26)/(D74*(1-D74))+((1-2*E25)*(LN((1-E25)/E25)))^-1*(1-2*(F26-E26)/(D27-E26))*(D27-E26)*((D74-0.5)/(D74*(1-D74))+LN(D74/(1-D74))))^(-1),IF(F25="sl",((1/2)*(LN((1-E25)/E25))^-1*LN((D27-D26)/(E26-D26))/(D74*(1-D74))+((1-2*E25)*(LN((1-E25)/E25)))^-1*LN(((D27-D26)*(E26-D26))/(F26-D26)^2)*((D74-0.5)/(D74*(1-D74))+LN(D74/(1-D74))))^(-1)*EXP(-(LN(F26-D26)+(1/2)*(LN((1-E25)/E25))^-1*LN((D27-D26)/(E26-D26))*LN(D74/(1-D74))+((1-2*E25)*(LN((1-E25)/E25)))^-1*LN(((D27-D26)*(E26-D26))/(F26-D26)^2)*(D74-0.5)*LN(D74/(1-D74)))),IF(F25="su",(-(1/2)*(LN((1-E25)/E25))^-1*LN((E27-D27)/(E27-E26))/(D74*(1-D74))-((1-2*E25)*(LN((1-E25)/E25)))^-1*LN(((E27-D27)*(E27-E26))/(E27-F26)^2)*((D74-0.5)/(D74*(1-D74))+LN(D74/(1-D74))))^(-1)*EXP((-LN(E27-F26)-(1/2)*(LN((1-E25)/E25))^-1*LN((E27-D27)/(E27-E26))*LN(D74/(1-D74))-((1-2*E25)*(LN((1-E25)/E25)))^-1*LN(((E27-D27)*(E27-E26))/(E27-F26)^2)*(D74-0.5)*LN(D74/(1-D74)))),IF(F25="b",((1/2)*(LN((1-E25)/E25))^-1*LN(((D27-D26)/(E27-D27))/((E26-D26)/(E27-E26)))/(D74*(1-D74))+((1-2*E25)*(LN((1-E25)/E25)))^-1*LN((((D27-D26)/(E27-D27))*((E26-D26)/(E27-E26)))/((F26-D26)/(E27-F26))^2)*((D74-0.5)/(D74*(1-D74))+LN(D74/(1-D74))))^(-1)*(1+EXP(LN((F26-D26)/(E27-F26))+(1/2)*(LN((1-E25)/E25))^-1*LN(((D27-D26)/(E27-D27))/((E26-D26)/(E27-E26)))*LN(D74/(1-D74))+((1-2*E25)*(LN((1-E25)/E25)))^-1*LN((((D27-D26)/(E27-D27))*((E26-D26)/(E27-E26)))/((F26-D26)/(E27-F26))^2)*(D74-0.5)*LN(D74/(1-D74))))^2/((E27-D26)*EXP(LN((F26-D26)/(E27-F26))+(1/2)*(LN((1-E25)/E25))^-1*LN(((D27-D26)/(E27-D27))/((E26-D26)/(E27-E26)))*LN(D74/(1-D74))+((1-2*E25)*(LN((1-E25)/E25)))^-1*LN((((D27-D26)/(E27-D27))*((E26-D26)/(E27-E26)))/((F26-D26)/(E27-F26))^2)*(D74-0.5)*LN(D74/(1-D74)))),NA())))))</f>
        <v>3.0549795575761134E-2</v>
      </c>
      <c r="H74" s="72">
        <v>38</v>
      </c>
      <c r="I74" s="69">
        <f t="shared" si="0"/>
        <v>38.731199406842187</v>
      </c>
      <c r="J74" s="70">
        <f t="shared" si="1"/>
        <v>63</v>
      </c>
      <c r="K74" s="71">
        <f t="shared" si="2"/>
        <v>2.3671363847039804E-2</v>
      </c>
    </row>
    <row r="75" spans="4:11" x14ac:dyDescent="0.35">
      <c r="D75" s="47">
        <f>IF(F27&lt;&gt;"",NA(),(ROW()-ROW(D40))/100)</f>
        <v>0.35</v>
      </c>
      <c r="E75" s="48">
        <f>IF(F27&lt;&gt;"",NA(),IF(F25="u",F26+(1/2)*(LN((1-E25)/E25))^-1*(D27-E26)*LN(D75/(1-D75))+((1-2*E25)*(LN((1-E25)/E25)))^-1*(1-2*(F26-E26)/(D27-E26))*(D27-E26)*(D75-0.5)*LN(D75/(1-D75)),IF(F25="sl",D26+EXP(LN(F26-D26)+(1/2)*(LN((1-E25)/E25))^-1*LN((D27-D26)/(E26-D26))*LN(D75/(1-D75))+((1-2*E25)*(LN((1-E25)/E25)))^-1*LN(((D27-D26)*(E26-D26))/(F26-D26)^2)*(D75-0.5)*LN(D75/(1-D75))),IF(F25="su",E27-EXP(-(-LN(E27-F26)-(1/2)*(LN((1-E25)/E25))^-1*LN((E27-D27)/(E27-E26))*LN(D75/(1-D75))-((1-2*E25)*(LN((1-E25)/E25)))^-1*LN(((E27-D27)*(E27-E26))/(E27-F26)^2)*(D75-0.5)*LN(D75/(1-D75)))),IF(F25="b",(D26+E27*EXP(LN((F26-D26)/(E27-F26))+(1/2)*(LN((1-E25)/E25))^-1*LN(((D27-D26)/(E27-D27))/((E26-D26)/(E27-E26)))*LN(D75/(1-D75))+((1-2*E25)*(LN((1-E25)/E25)))^-1*LN((((D27-D26)/(E27-D27))*((E26-D26)/(E27-E26)))/((F26-D26)/(E27-F26))^2)*(D75-0.5)*LN(D75/(1-D75))))/(1+EXP(LN((F26-D26)/(E27-F26))+(1/2)*(LN((1-E25)/E25))^-1*LN(((D27-D26)/(E27-D27))/((E26-D26)/(E27-E26)))*LN(D75/(1-D75))+((1-2*E25)*(LN((1-E25)/E25)))^-1*LN((((D27-D26)/(E27-D27))*((E26-D26)/(E27-E26)))/((F26-D26)/(E27-F26))^2)*(D75-0.5)*LN(D75/(1-D75)))),NA())))))</f>
        <v>29.893518956553205</v>
      </c>
      <c r="F75" s="49">
        <f>IF(F27&lt;&gt;"",NA(),IF(F25="u",((1/2)*(LN((1-E25)/E25))^-1*(D27-E26)/(D75*(1-D75))+((1-2*E25)*(LN((1-E25)/E25)))^-1*(1-2*(F26-E26)/(D27-E26))*(D27-E26)*((D75-0.5)/(D75*(1-D75))+LN(D75/(1-D75))))^(-1),IF(F25="sl",((1/2)*(LN((1-E25)/E25))^-1*LN((D27-D26)/(E26-D26))/(D75*(1-D75))+((1-2*E25)*(LN((1-E25)/E25)))^-1*LN(((D27-D26)*(E26-D26))/(F26-D26)^2)*((D75-0.5)/(D75*(1-D75))+LN(D75/(1-D75))))^(-1)*EXP(-(LN(F26-D26)+(1/2)*(LN((1-E25)/E25))^-1*LN((D27-D26)/(E26-D26))*LN(D75/(1-D75))+((1-2*E25)*(LN((1-E25)/E25)))^-1*LN(((D27-D26)*(E26-D26))/(F26-D26)^2)*(D75-0.5)*LN(D75/(1-D75)))),IF(F25="su",(-(1/2)*(LN((1-E25)/E25))^-1*LN((E27-D27)/(E27-E26))/(D75*(1-D75))-((1-2*E25)*(LN((1-E25)/E25)))^-1*LN(((E27-D27)*(E27-E26))/(E27-F26)^2)*((D75-0.5)/(D75*(1-D75))+LN(D75/(1-D75))))^(-1)*EXP((-LN(E27-F26)-(1/2)*(LN((1-E25)/E25))^-1*LN((E27-D27)/(E27-E26))*LN(D75/(1-D75))-((1-2*E25)*(LN((1-E25)/E25)))^-1*LN(((E27-D27)*(E27-E26))/(E27-F26)^2)*(D75-0.5)*LN(D75/(1-D75)))),IF(F25="b",((1/2)*(LN((1-E25)/E25))^-1*LN(((D27-D26)/(E27-D27))/((E26-D26)/(E27-E26)))/(D75*(1-D75))+((1-2*E25)*(LN((1-E25)/E25)))^-1*LN((((D27-D26)/(E27-D27))*((E26-D26)/(E27-E26)))/((F26-D26)/(E27-F26))^2)*((D75-0.5)/(D75*(1-D75))+LN(D75/(1-D75))))^(-1)*(1+EXP(LN((F26-D26)/(E27-F26))+(1/2)*(LN((1-E25)/E25))^-1*LN(((D27-D26)/(E27-D27))/((E26-D26)/(E27-E26)))*LN(D75/(1-D75))+((1-2*E25)*(LN((1-E25)/E25)))^-1*LN((((D27-D26)/(E27-D27))*((E26-D26)/(E27-E26)))/((F26-D26)/(E27-F26))^2)*(D75-0.5)*LN(D75/(1-D75))))^2/((E27-D26)*EXP(LN((F26-D26)/(E27-F26))+(1/2)*(LN((1-E25)/E25))^-1*LN(((D27-D26)/(E27-D27))/((E26-D26)/(E27-E26)))*LN(D75/(1-D75))+((1-2*E25)*(LN((1-E25)/E25)))^-1*LN((((D27-D26)/(E27-D27))*((E26-D26)/(E27-E26)))/((F26-D26)/(E27-F26))^2)*(D75-0.5)*LN(D75/(1-D75)))),NA())))))</f>
        <v>3.0545712688005291E-2</v>
      </c>
      <c r="H75" s="72">
        <v>39</v>
      </c>
      <c r="I75" s="69">
        <f t="shared" si="0"/>
        <v>40.001259836785273</v>
      </c>
      <c r="J75" s="70">
        <f t="shared" si="1"/>
        <v>66</v>
      </c>
      <c r="K75" s="71">
        <f t="shared" si="2"/>
        <v>2.2345356293289115E-2</v>
      </c>
    </row>
    <row r="76" spans="4:11" x14ac:dyDescent="0.35">
      <c r="D76" s="47">
        <f>IF(F27&lt;&gt;"",NA(),(ROW()-ROW(D40))/100)</f>
        <v>0.36</v>
      </c>
      <c r="E76" s="48">
        <f>IF(F27&lt;&gt;"",NA(),IF(F25="u",F26+(1/2)*(LN((1-E25)/E25))^-1*(D27-E26)*LN(D76/(1-D76))+((1-2*E25)*(LN((1-E25)/E25)))^-1*(1-2*(F26-E26)/(D27-E26))*(D27-E26)*(D76-0.5)*LN(D76/(1-D76)),IF(F25="sl",D26+EXP(LN(F26-D26)+(1/2)*(LN((1-E25)/E25))^-1*LN((D27-D26)/(E26-D26))*LN(D76/(1-D76))+((1-2*E25)*(LN((1-E25)/E25)))^-1*LN(((D27-D26)*(E26-D26))/(F26-D26)^2)*(D76-0.5)*LN(D76/(1-D76))),IF(F25="su",E27-EXP(-(-LN(E27-F26)-(1/2)*(LN((1-E25)/E25))^-1*LN((E27-D27)/(E27-E26))*LN(D76/(1-D76))-((1-2*E25)*(LN((1-E25)/E25)))^-1*LN(((E27-D27)*(E27-E26))/(E27-F26)^2)*(D76-0.5)*LN(D76/(1-D76)))),IF(F25="b",(D26+E27*EXP(LN((F26-D26)/(E27-F26))+(1/2)*(LN((1-E25)/E25))^-1*LN(((D27-D26)/(E27-D27))/((E26-D26)/(E27-E26)))*LN(D76/(1-D76))+((1-2*E25)*(LN((1-E25)/E25)))^-1*LN((((D27-D26)/(E27-D27))*((E26-D26)/(E27-E26)))/((F26-D26)/(E27-F26))^2)*(D76-0.5)*LN(D76/(1-D76))))/(1+EXP(LN((F26-D26)/(E27-F26))+(1/2)*(LN((1-E25)/E25))^-1*LN(((D27-D26)/(E27-D27))/((E26-D26)/(E27-E26)))*LN(D76/(1-D76))+((1-2*E25)*(LN((1-E25)/E25)))^-1*LN((((D27-D26)/(E27-D27))*((E26-D26)/(E27-E26)))/((F26-D26)/(E27-F26))^2)*(D76-0.5)*LN(D76/(1-D76)))),NA())))))</f>
        <v>30.221063994641806</v>
      </c>
      <c r="F76" s="49">
        <f>IF(F27&lt;&gt;"",NA(),IF(F25="u",((1/2)*(LN((1-E25)/E25))^-1*(D27-E26)/(D76*(1-D76))+((1-2*E25)*(LN((1-E25)/E25)))^-1*(1-2*(F26-E26)/(D27-E26))*(D27-E26)*((D76-0.5)/(D76*(1-D76))+LN(D76/(1-D76))))^(-1),IF(F25="sl",((1/2)*(LN((1-E25)/E25))^-1*LN((D27-D26)/(E26-D26))/(D76*(1-D76))+((1-2*E25)*(LN((1-E25)/E25)))^-1*LN(((D27-D26)*(E26-D26))/(F26-D26)^2)*((D76-0.5)/(D76*(1-D76))+LN(D76/(1-D76))))^(-1)*EXP(-(LN(F26-D26)+(1/2)*(LN((1-E25)/E25))^-1*LN((D27-D26)/(E26-D26))*LN(D76/(1-D76))+((1-2*E25)*(LN((1-E25)/E25)))^-1*LN(((D27-D26)*(E26-D26))/(F26-D26)^2)*(D76-0.5)*LN(D76/(1-D76)))),IF(F25="su",(-(1/2)*(LN((1-E25)/E25))^-1*LN((E27-D27)/(E27-E26))/(D76*(1-D76))-((1-2*E25)*(LN((1-E25)/E25)))^-1*LN(((E27-D27)*(E27-E26))/(E27-F26)^2)*((D76-0.5)/(D76*(1-D76))+LN(D76/(1-D76))))^(-1)*EXP((-LN(E27-F26)-(1/2)*(LN((1-E25)/E25))^-1*LN((E27-D27)/(E27-E26))*LN(D76/(1-D76))-((1-2*E25)*(LN((1-E25)/E25)))^-1*LN(((E27-D27)*(E27-E26))/(E27-F26)^2)*(D76-0.5)*LN(D76/(1-D76)))),IF(F25="b",((1/2)*(LN((1-E25)/E25))^-1*LN(((D27-D26)/(E27-D27))/((E26-D26)/(E27-E26)))/(D76*(1-D76))+((1-2*E25)*(LN((1-E25)/E25)))^-1*LN((((D27-D26)/(E27-D27))*((E26-D26)/(E27-E26)))/((F26-D26)/(E27-F26))^2)*((D76-0.5)/(D76*(1-D76))+LN(D76/(1-D76))))^(-1)*(1+EXP(LN((F26-D26)/(E27-F26))+(1/2)*(LN((1-E25)/E25))^-1*LN(((D27-D26)/(E27-D27))/((E26-D26)/(E27-E26)))*LN(D76/(1-D76))+((1-2*E25)*(LN((1-E25)/E25)))^-1*LN((((D27-D26)/(E27-D27))*((E26-D26)/(E27-E26)))/((F26-D26)/(E27-F26))^2)*(D76-0.5)*LN(D76/(1-D76))))^2/((E27-D26)*EXP(LN((F26-D26)/(E27-F26))+(1/2)*(LN((1-E25)/E25))^-1*LN(((D27-D26)/(E27-D27))/((E26-D26)/(E27-E26)))*LN(D76/(1-D76))+((1-2*E25)*(LN((1-E25)/E25)))^-1*LN((((D27-D26)/(E27-D27))*((E26-D26)/(E27-E26)))/((F26-D26)/(E27-F26))^2)*(D76-0.5)*LN(D76/(1-D76)))),NA())))))</f>
        <v>3.0509373203363999E-2</v>
      </c>
      <c r="H76" s="72">
        <v>40</v>
      </c>
      <c r="I76" s="69">
        <f t="shared" si="0"/>
        <v>41.27132026672836</v>
      </c>
      <c r="J76" s="70">
        <f t="shared" si="1"/>
        <v>69</v>
      </c>
      <c r="K76" s="71">
        <f t="shared" si="2"/>
        <v>2.1039311191657872E-2</v>
      </c>
    </row>
    <row r="77" spans="4:11" x14ac:dyDescent="0.35">
      <c r="D77" s="47">
        <f>IF(F27&lt;&gt;"",NA(),(ROW()-ROW(D40))/100)</f>
        <v>0.37</v>
      </c>
      <c r="E77" s="48">
        <f>IF(F27&lt;&gt;"",NA(),IF(F25="u",F26+(1/2)*(LN((1-E25)/E25))^-1*(D27-E26)*LN(D77/(1-D77))+((1-2*E25)*(LN((1-E25)/E25)))^-1*(1-2*(F26-E26)/(D27-E26))*(D27-E26)*(D77-0.5)*LN(D77/(1-D77)),IF(F25="sl",D26+EXP(LN(F26-D26)+(1/2)*(LN((1-E25)/E25))^-1*LN((D27-D26)/(E26-D26))*LN(D77/(1-D77))+((1-2*E25)*(LN((1-E25)/E25)))^-1*LN(((D27-D26)*(E26-D26))/(F26-D26)^2)*(D77-0.5)*LN(D77/(1-D77))),IF(F25="su",E27-EXP(-(-LN(E27-F26)-(1/2)*(LN((1-E25)/E25))^-1*LN((E27-D27)/(E27-E26))*LN(D77/(1-D77))-((1-2*E25)*(LN((1-E25)/E25)))^-1*LN(((E27-D27)*(E27-E26))/(E27-F26)^2)*(D77-0.5)*LN(D77/(1-D77)))),IF(F25="b",(D26+E27*EXP(LN((F26-D26)/(E27-F26))+(1/2)*(LN((1-E25)/E25))^-1*LN(((D27-D26)/(E27-D27))/((E26-D26)/(E27-E26)))*LN(D77/(1-D77))+((1-2*E25)*(LN((1-E25)/E25)))^-1*LN((((D27-D26)/(E27-D27))*((E26-D26)/(E27-E26)))/((F26-D26)/(E27-F26))^2)*(D77-0.5)*LN(D77/(1-D77))))/(1+EXP(LN((F26-D26)/(E27-F26))+(1/2)*(LN((1-E25)/E25))^-1*LN(((D27-D26)/(E27-D27))/((E26-D26)/(E27-E26)))*LN(D77/(1-D77))+((1-2*E25)*(LN((1-E25)/E25)))^-1*LN((((D27-D26)/(E27-D27))*((E26-D26)/(E27-E26)))/((F26-D26)/(E27-F26))^2)*(D77-0.5)*LN(D77/(1-D77)))),NA())))))</f>
        <v>30.549165045084816</v>
      </c>
      <c r="F77" s="49">
        <f>IF(F27&lt;&gt;"",NA(),IF(F25="u",((1/2)*(LN((1-E25)/E25))^-1*(D27-E26)/(D77*(1-D77))+((1-2*E25)*(LN((1-E25)/E25)))^-1*(1-2*(F26-E26)/(D27-E26))*(D27-E26)*((D77-0.5)/(D77*(1-D77))+LN(D77/(1-D77))))^(-1),IF(F25="sl",((1/2)*(LN((1-E25)/E25))^-1*LN((D27-D26)/(E26-D26))/(D77*(1-D77))+((1-2*E25)*(LN((1-E25)/E25)))^-1*LN(((D27-D26)*(E26-D26))/(F26-D26)^2)*((D77-0.5)/(D77*(1-D77))+LN(D77/(1-D77))))^(-1)*EXP(-(LN(F26-D26)+(1/2)*(LN((1-E25)/E25))^-1*LN((D27-D26)/(E26-D26))*LN(D77/(1-D77))+((1-2*E25)*(LN((1-E25)/E25)))^-1*LN(((D27-D26)*(E26-D26))/(F26-D26)^2)*(D77-0.5)*LN(D77/(1-D77)))),IF(F25="su",(-(1/2)*(LN((1-E25)/E25))^-1*LN((E27-D27)/(E27-E26))/(D77*(1-D77))-((1-2*E25)*(LN((1-E25)/E25)))^-1*LN(((E27-D27)*(E27-E26))/(E27-F26)^2)*((D77-0.5)/(D77*(1-D77))+LN(D77/(1-D77))))^(-1)*EXP((-LN(E27-F26)-(1/2)*(LN((1-E25)/E25))^-1*LN((E27-D27)/(E27-E26))*LN(D77/(1-D77))-((1-2*E25)*(LN((1-E25)/E25)))^-1*LN(((E27-D27)*(E27-E26))/(E27-F26)^2)*(D77-0.5)*LN(D77/(1-D77)))),IF(F25="b",((1/2)*(LN((1-E25)/E25))^-1*LN(((D27-D26)/(E27-D27))/((E26-D26)/(E27-E26)))/(D77*(1-D77))+((1-2*E25)*(LN((1-E25)/E25)))^-1*LN((((D27-D26)/(E27-D27))*((E26-D26)/(E27-E26)))/((F26-D26)/(E27-F26))^2)*((D77-0.5)/(D77*(1-D77))+LN(D77/(1-D77))))^(-1)*(1+EXP(LN((F26-D26)/(E27-F26))+(1/2)*(LN((1-E25)/E25))^-1*LN(((D27-D26)/(E27-D27))/((E26-D26)/(E27-E26)))*LN(D77/(1-D77))+((1-2*E25)*(LN((1-E25)/E25)))^-1*LN((((D27-D26)/(E27-D27))*((E26-D26)/(E27-E26)))/((F26-D26)/(E27-F26))^2)*(D77-0.5)*LN(D77/(1-D77))))^2/((E27-D26)*EXP(LN((F26-D26)/(E27-F26))+(1/2)*(LN((1-E25)/E25))^-1*LN(((D27-D26)/(E27-D27))/((E26-D26)/(E27-E26)))*LN(D77/(1-D77))+((1-2*E25)*(LN((1-E25)/E25)))^-1*LN((((D27-D26)/(E27-D27))*((E26-D26)/(E27-E26)))/((F26-D26)/(E27-F26))^2)*(D77-0.5)*LN(D77/(1-D77)))),NA())))))</f>
        <v>3.0442542744344478E-2</v>
      </c>
      <c r="H77" s="72">
        <v>41</v>
      </c>
      <c r="I77" s="69">
        <f t="shared" si="0"/>
        <v>42.541380696671446</v>
      </c>
      <c r="J77" s="70">
        <f t="shared" si="1"/>
        <v>71</v>
      </c>
      <c r="K77" s="71">
        <f t="shared" si="2"/>
        <v>1.9766155717653909E-2</v>
      </c>
    </row>
    <row r="78" spans="4:11" x14ac:dyDescent="0.35">
      <c r="D78" s="47">
        <f>IF(F27&lt;&gt;"",NA(),(ROW()-ROW(D40))/100)</f>
        <v>0.38</v>
      </c>
      <c r="E78" s="48">
        <f>IF(F27&lt;&gt;"",NA(),IF(F25="u",F26+(1/2)*(LN((1-E25)/E25))^-1*(D27-E26)*LN(D78/(1-D78))+((1-2*E25)*(LN((1-E25)/E25)))^-1*(1-2*(F26-E26)/(D27-E26))*(D27-E26)*(D78-0.5)*LN(D78/(1-D78)),IF(F25="sl",D26+EXP(LN(F26-D26)+(1/2)*(LN((1-E25)/E25))^-1*LN((D27-D26)/(E26-D26))*LN(D78/(1-D78))+((1-2*E25)*(LN((1-E25)/E25)))^-1*LN(((D27-D26)*(E26-D26))/(F26-D26)^2)*(D78-0.5)*LN(D78/(1-D78))),IF(F25="su",E27-EXP(-(-LN(E27-F26)-(1/2)*(LN((1-E25)/E25))^-1*LN((E27-D27)/(E27-E26))*LN(D78/(1-D78))-((1-2*E25)*(LN((1-E25)/E25)))^-1*LN(((E27-D27)*(E27-E26))/(E27-F26)^2)*(D78-0.5)*LN(D78/(1-D78)))),IF(F25="b",(D26+E27*EXP(LN((F26-D26)/(E27-F26))+(1/2)*(LN((1-E25)/E25))^-1*LN(((D27-D26)/(E27-D27))/((E26-D26)/(E27-E26)))*LN(D78/(1-D78))+((1-2*E25)*(LN((1-E25)/E25)))^-1*LN((((D27-D26)/(E27-D27))*((E26-D26)/(E27-E26)))/((F26-D26)/(E27-F26))^2)*(D78-0.5)*LN(D78/(1-D78))))/(1+EXP(LN((F26-D26)/(E27-F26))+(1/2)*(LN((1-E25)/E25))^-1*LN(((D27-D26)/(E27-D27))/((E26-D26)/(E27-E26)))*LN(D78/(1-D78))+((1-2*E25)*(LN((1-E25)/E25)))^-1*LN((((D27-D26)/(E27-D27))*((E26-D26)/(E27-E26)))/((F26-D26)/(E27-F26))^2)*(D78-0.5)*LN(D78/(1-D78)))),NA())))))</f>
        <v>30.878144518401584</v>
      </c>
      <c r="F78" s="49">
        <f>IF(F27&lt;&gt;"",NA(),IF(F25="u",((1/2)*(LN((1-E25)/E25))^-1*(D27-E26)/(D78*(1-D78))+((1-2*E25)*(LN((1-E25)/E25)))^-1*(1-2*(F26-E26)/(D27-E26))*(D27-E26)*((D78-0.5)/(D78*(1-D78))+LN(D78/(1-D78))))^(-1),IF(F25="sl",((1/2)*(LN((1-E25)/E25))^-1*LN((D27-D26)/(E26-D26))/(D78*(1-D78))+((1-2*E25)*(LN((1-E25)/E25)))^-1*LN(((D27-D26)*(E26-D26))/(F26-D26)^2)*((D78-0.5)/(D78*(1-D78))+LN(D78/(1-D78))))^(-1)*EXP(-(LN(F26-D26)+(1/2)*(LN((1-E25)/E25))^-1*LN((D27-D26)/(E26-D26))*LN(D78/(1-D78))+((1-2*E25)*(LN((1-E25)/E25)))^-1*LN(((D27-D26)*(E26-D26))/(F26-D26)^2)*(D78-0.5)*LN(D78/(1-D78)))),IF(F25="su",(-(1/2)*(LN((1-E25)/E25))^-1*LN((E27-D27)/(E27-E26))/(D78*(1-D78))-((1-2*E25)*(LN((1-E25)/E25)))^-1*LN(((E27-D27)*(E27-E26))/(E27-F26)^2)*((D78-0.5)/(D78*(1-D78))+LN(D78/(1-D78))))^(-1)*EXP((-LN(E27-F26)-(1/2)*(LN((1-E25)/E25))^-1*LN((E27-D27)/(E27-E26))*LN(D78/(1-D78))-((1-2*E25)*(LN((1-E25)/E25)))^-1*LN(((E27-D27)*(E27-E26))/(E27-F26)^2)*(D78-0.5)*LN(D78/(1-D78)))),IF(F25="b",((1/2)*(LN((1-E25)/E25))^-1*LN(((D27-D26)/(E27-D27))/((E26-D26)/(E27-E26)))/(D78*(1-D78))+((1-2*E25)*(LN((1-E25)/E25)))^-1*LN((((D27-D26)/(E27-D27))*((E26-D26)/(E27-E26)))/((F26-D26)/(E27-F26))^2)*((D78-0.5)/(D78*(1-D78))+LN(D78/(1-D78))))^(-1)*(1+EXP(LN((F26-D26)/(E27-F26))+(1/2)*(LN((1-E25)/E25))^-1*LN(((D27-D26)/(E27-D27))/((E26-D26)/(E27-E26)))*LN(D78/(1-D78))+((1-2*E25)*(LN((1-E25)/E25)))^-1*LN((((D27-D26)/(E27-D27))*((E26-D26)/(E27-E26)))/((F26-D26)/(E27-F26))^2)*(D78-0.5)*LN(D78/(1-D78))))^2/((E27-D26)*EXP(LN((F26-D26)/(E27-F26))+(1/2)*(LN((1-E25)/E25))^-1*LN(((D27-D26)/(E27-D27))/((E26-D26)/(E27-E26)))*LN(D78/(1-D78))+((1-2*E25)*(LN((1-E25)/E25)))^-1*LN((((D27-D26)/(E27-D27))*((E26-D26)/(E27-E26)))/((F26-D26)/(E27-F26))^2)*(D78-0.5)*LN(D78/(1-D78)))),NA())))))</f>
        <v>3.0346910471749807E-2</v>
      </c>
      <c r="H78" s="72">
        <v>42</v>
      </c>
      <c r="I78" s="69">
        <f t="shared" si="0"/>
        <v>43.811441126614532</v>
      </c>
      <c r="J78" s="70">
        <f t="shared" si="1"/>
        <v>74</v>
      </c>
      <c r="K78" s="71">
        <f t="shared" si="2"/>
        <v>1.853467608824249E-2</v>
      </c>
    </row>
    <row r="79" spans="4:11" x14ac:dyDescent="0.35">
      <c r="D79" s="47">
        <f>IF(F27&lt;&gt;"",NA(),(ROW()-ROW(D40))/100)</f>
        <v>0.39</v>
      </c>
      <c r="E79" s="48">
        <f>IF(F27&lt;&gt;"",NA(),IF(F25="u",F26+(1/2)*(LN((1-E25)/E25))^-1*(D27-E26)*LN(D79/(1-D79))+((1-2*E25)*(LN((1-E25)/E25)))^-1*(1-2*(F26-E26)/(D27-E26))*(D27-E26)*(D79-0.5)*LN(D79/(1-D79)),IF(F25="sl",D26+EXP(LN(F26-D26)+(1/2)*(LN((1-E25)/E25))^-1*LN((D27-D26)/(E26-D26))*LN(D79/(1-D79))+((1-2*E25)*(LN((1-E25)/E25)))^-1*LN(((D27-D26)*(E26-D26))/(F26-D26)^2)*(D79-0.5)*LN(D79/(1-D79))),IF(F25="su",E27-EXP(-(-LN(E27-F26)-(1/2)*(LN((1-E25)/E25))^-1*LN((E27-D27)/(E27-E26))*LN(D79/(1-D79))-((1-2*E25)*(LN((1-E25)/E25)))^-1*LN(((E27-D27)*(E27-E26))/(E27-F26)^2)*(D79-0.5)*LN(D79/(1-D79)))),IF(F25="b",(D26+E27*EXP(LN((F26-D26)/(E27-F26))+(1/2)*(LN((1-E25)/E25))^-1*LN(((D27-D26)/(E27-D27))/((E26-D26)/(E27-E26)))*LN(D79/(1-D79))+((1-2*E25)*(LN((1-E25)/E25)))^-1*LN((((D27-D26)/(E27-D27))*((E26-D26)/(E27-E26)))/((F26-D26)/(E27-F26))^2)*(D79-0.5)*LN(D79/(1-D79))))/(1+EXP(LN((F26-D26)/(E27-F26))+(1/2)*(LN((1-E25)/E25))^-1*LN(((D27-D26)/(E27-D27))/((E26-D26)/(E27-E26)))*LN(D79/(1-D79))+((1-2*E25)*(LN((1-E25)/E25)))^-1*LN((((D27-D26)/(E27-D27))*((E26-D26)/(E27-E26)))/((F26-D26)/(E27-F26))^2)*(D79-0.5)*LN(D79/(1-D79)))),NA())))))</f>
        <v>31.208312000968295</v>
      </c>
      <c r="F79" s="49">
        <f>IF(F27&lt;&gt;"",NA(),IF(F25="u",((1/2)*(LN((1-E25)/E25))^-1*(D27-E26)/(D79*(1-D79))+((1-2*E25)*(LN((1-E25)/E25)))^-1*(1-2*(F26-E26)/(D27-E26))*(D27-E26)*((D79-0.5)/(D79*(1-D79))+LN(D79/(1-D79))))^(-1),IF(F25="sl",((1/2)*(LN((1-E25)/E25))^-1*LN((D27-D26)/(E26-D26))/(D79*(1-D79))+((1-2*E25)*(LN((1-E25)/E25)))^-1*LN(((D27-D26)*(E26-D26))/(F26-D26)^2)*((D79-0.5)/(D79*(1-D79))+LN(D79/(1-D79))))^(-1)*EXP(-(LN(F26-D26)+(1/2)*(LN((1-E25)/E25))^-1*LN((D27-D26)/(E26-D26))*LN(D79/(1-D79))+((1-2*E25)*(LN((1-E25)/E25)))^-1*LN(((D27-D26)*(E26-D26))/(F26-D26)^2)*(D79-0.5)*LN(D79/(1-D79)))),IF(F25="su",(-(1/2)*(LN((1-E25)/E25))^-1*LN((E27-D27)/(E27-E26))/(D79*(1-D79))-((1-2*E25)*(LN((1-E25)/E25)))^-1*LN(((E27-D27)*(E27-E26))/(E27-F26)^2)*((D79-0.5)/(D79*(1-D79))+LN(D79/(1-D79))))^(-1)*EXP((-LN(E27-F26)-(1/2)*(LN((1-E25)/E25))^-1*LN((E27-D27)/(E27-E26))*LN(D79/(1-D79))-((1-2*E25)*(LN((1-E25)/E25)))^-1*LN(((E27-D27)*(E27-E26))/(E27-F26)^2)*(D79-0.5)*LN(D79/(1-D79)))),IF(F25="b",((1/2)*(LN((1-E25)/E25))^-1*LN(((D27-D26)/(E27-D27))/((E26-D26)/(E27-E26)))/(D79*(1-D79))+((1-2*E25)*(LN((1-E25)/E25)))^-1*LN((((D27-D26)/(E27-D27))*((E26-D26)/(E27-E26)))/((F26-D26)/(E27-F26))^2)*((D79-0.5)/(D79*(1-D79))+LN(D79/(1-D79))))^(-1)*(1+EXP(LN((F26-D26)/(E27-F26))+(1/2)*(LN((1-E25)/E25))^-1*LN(((D27-D26)/(E27-D27))/((E26-D26)/(E27-E26)))*LN(D79/(1-D79))+((1-2*E25)*(LN((1-E25)/E25)))^-1*LN((((D27-D26)/(E27-D27))*((E26-D26)/(E27-E26)))/((F26-D26)/(E27-F26))^2)*(D79-0.5)*LN(D79/(1-D79))))^2/((E27-D26)*EXP(LN((F26-D26)/(E27-F26))+(1/2)*(LN((1-E25)/E25))^-1*LN(((D27-D26)/(E27-D27))/((E26-D26)/(E27-E26)))*LN(D79/(1-D79))+((1-2*E25)*(LN((1-E25)/E25)))^-1*LN((((D27-D26)/(E27-D27))*((E26-D26)/(E27-E26)))/((F26-D26)/(E27-F26))^2)*(D79-0.5)*LN(D79/(1-D79)))),NA())))))</f>
        <v>3.0224088570826011E-2</v>
      </c>
      <c r="H79" s="72">
        <v>43</v>
      </c>
      <c r="I79" s="69">
        <f t="shared" si="0"/>
        <v>45.081501556557619</v>
      </c>
      <c r="J79" s="70">
        <f t="shared" si="1"/>
        <v>76</v>
      </c>
      <c r="K79" s="71">
        <f t="shared" si="2"/>
        <v>1.7350156627609456E-2</v>
      </c>
    </row>
    <row r="80" spans="4:11" x14ac:dyDescent="0.35">
      <c r="D80" s="47">
        <f>IF(F27&lt;&gt;"",NA(),(ROW()-ROW(D40))/100)</f>
        <v>0.4</v>
      </c>
      <c r="E80" s="48">
        <f>IF(F27&lt;&gt;"",NA(),IF(F25="u",F26+(1/2)*(LN((1-E25)/E25))^-1*(D27-E26)*LN(D80/(1-D80))+((1-2*E25)*(LN((1-E25)/E25)))^-1*(1-2*(F26-E26)/(D27-E26))*(D27-E26)*(D80-0.5)*LN(D80/(1-D80)),IF(F25="sl",D26+EXP(LN(F26-D26)+(1/2)*(LN((1-E25)/E25))^-1*LN((D27-D26)/(E26-D26))*LN(D80/(1-D80))+((1-2*E25)*(LN((1-E25)/E25)))^-1*LN(((D27-D26)*(E26-D26))/(F26-D26)^2)*(D80-0.5)*LN(D80/(1-D80))),IF(F25="su",E27-EXP(-(-LN(E27-F26)-(1/2)*(LN((1-E25)/E25))^-1*LN((E27-D27)/(E27-E26))*LN(D80/(1-D80))-((1-2*E25)*(LN((1-E25)/E25)))^-1*LN(((E27-D27)*(E27-E26))/(E27-F26)^2)*(D80-0.5)*LN(D80/(1-D80)))),IF(F25="b",(D26+E27*EXP(LN((F26-D26)/(E27-F26))+(1/2)*(LN((1-E25)/E25))^-1*LN(((D27-D26)/(E27-D27))/((E26-D26)/(E27-E26)))*LN(D80/(1-D80))+((1-2*E25)*(LN((1-E25)/E25)))^-1*LN((((D27-D26)/(E27-D27))*((E26-D26)/(E27-E26)))/((F26-D26)/(E27-F26))^2)*(D80-0.5)*LN(D80/(1-D80))))/(1+EXP(LN((F26-D26)/(E27-F26))+(1/2)*(LN((1-E25)/E25))^-1*LN(((D27-D26)/(E27-D27))/((E26-D26)/(E27-E26)))*LN(D80/(1-D80))+((1-2*E25)*(LN((1-E25)/E25)))^-1*LN((((D27-D26)/(E27-D27))*((E26-D26)/(E27-E26)))/((F26-D26)/(E27-F26))^2)*(D80-0.5)*LN(D80/(1-D80)))),NA())))))</f>
        <v>31.539966439732417</v>
      </c>
      <c r="F80" s="49">
        <f>IF(F27&lt;&gt;"",NA(),IF(F25="u",((1/2)*(LN((1-E25)/E25))^-1*(D27-E26)/(D80*(1-D80))+((1-2*E25)*(LN((1-E25)/E25)))^-1*(1-2*(F26-E26)/(D27-E26))*(D27-E26)*((D80-0.5)/(D80*(1-D80))+LN(D80/(1-D80))))^(-1),IF(F25="sl",((1/2)*(LN((1-E25)/E25))^-1*LN((D27-D26)/(E26-D26))/(D80*(1-D80))+((1-2*E25)*(LN((1-E25)/E25)))^-1*LN(((D27-D26)*(E26-D26))/(F26-D26)^2)*((D80-0.5)/(D80*(1-D80))+LN(D80/(1-D80))))^(-1)*EXP(-(LN(F26-D26)+(1/2)*(LN((1-E25)/E25))^-1*LN((D27-D26)/(E26-D26))*LN(D80/(1-D80))+((1-2*E25)*(LN((1-E25)/E25)))^-1*LN(((D27-D26)*(E26-D26))/(F26-D26)^2)*(D80-0.5)*LN(D80/(1-D80)))),IF(F25="su",(-(1/2)*(LN((1-E25)/E25))^-1*LN((E27-D27)/(E27-E26))/(D80*(1-D80))-((1-2*E25)*(LN((1-E25)/E25)))^-1*LN(((E27-D27)*(E27-E26))/(E27-F26)^2)*((D80-0.5)/(D80*(1-D80))+LN(D80/(1-D80))))^(-1)*EXP((-LN(E27-F26)-(1/2)*(LN((1-E25)/E25))^-1*LN((E27-D27)/(E27-E26))*LN(D80/(1-D80))-((1-2*E25)*(LN((1-E25)/E25)))^-1*LN(((E27-D27)*(E27-E26))/(E27-F26)^2)*(D80-0.5)*LN(D80/(1-D80)))),IF(F25="b",((1/2)*(LN((1-E25)/E25))^-1*LN(((D27-D26)/(E27-D27))/((E26-D26)/(E27-E26)))/(D80*(1-D80))+((1-2*E25)*(LN((1-E25)/E25)))^-1*LN((((D27-D26)/(E27-D27))*((E26-D26)/(E27-E26)))/((F26-D26)/(E27-F26))^2)*((D80-0.5)/(D80*(1-D80))+LN(D80/(1-D80))))^(-1)*(1+EXP(LN((F26-D26)/(E27-F26))+(1/2)*(LN((1-E25)/E25))^-1*LN(((D27-D26)/(E27-D27))/((E26-D26)/(E27-E26)))*LN(D80/(1-D80))+((1-2*E25)*(LN((1-E25)/E25)))^-1*LN((((D27-D26)/(E27-D27))*((E26-D26)/(E27-E26)))/((F26-D26)/(E27-F26))^2)*(D80-0.5)*LN(D80/(1-D80))))^2/((E27-D26)*EXP(LN((F26-D26)/(E27-F26))+(1/2)*(LN((1-E25)/E25))^-1*LN(((D27-D26)/(E27-D27))/((E26-D26)/(E27-E26)))*LN(D80/(1-D80))+((1-2*E25)*(LN((1-E25)/E25)))^-1*LN((((D27-D26)/(E27-D27))*((E26-D26)/(E27-E26)))/((F26-D26)/(E27-F26))^2)*(D80-0.5)*LN(D80/(1-D80)))),NA())))))</f>
        <v>3.0075612420546172E-2</v>
      </c>
      <c r="H80" s="72">
        <v>44</v>
      </c>
      <c r="I80" s="69">
        <f t="shared" si="0"/>
        <v>46.351561986500705</v>
      </c>
      <c r="J80" s="70">
        <f t="shared" si="1"/>
        <v>78</v>
      </c>
      <c r="K80" s="71">
        <f t="shared" si="2"/>
        <v>1.6215290467667211E-2</v>
      </c>
    </row>
    <row r="81" spans="4:11" x14ac:dyDescent="0.35">
      <c r="D81" s="47">
        <f>IF(F27&lt;&gt;"",NA(),(ROW()-ROW(D40))/100)</f>
        <v>0.41</v>
      </c>
      <c r="E81" s="48">
        <f>IF(F27&lt;&gt;"",NA(),IF(F25="u",F26+(1/2)*(LN((1-E25)/E25))^-1*(D27-E26)*LN(D81/(1-D81))+((1-2*E25)*(LN((1-E25)/E25)))^-1*(1-2*(F26-E26)/(D27-E26))*(D27-E26)*(D81-0.5)*LN(D81/(1-D81)),IF(F25="sl",D26+EXP(LN(F26-D26)+(1/2)*(LN((1-E25)/E25))^-1*LN((D27-D26)/(E26-D26))*LN(D81/(1-D81))+((1-2*E25)*(LN((1-E25)/E25)))^-1*LN(((D27-D26)*(E26-D26))/(F26-D26)^2)*(D81-0.5)*LN(D81/(1-D81))),IF(F25="su",E27-EXP(-(-LN(E27-F26)-(1/2)*(LN((1-E25)/E25))^-1*LN((E27-D27)/(E27-E26))*LN(D81/(1-D81))-((1-2*E25)*(LN((1-E25)/E25)))^-1*LN(((E27-D27)*(E27-E26))/(E27-F26)^2)*(D81-0.5)*LN(D81/(1-D81)))),IF(F25="b",(D26+E27*EXP(LN((F26-D26)/(E27-F26))+(1/2)*(LN((1-E25)/E25))^-1*LN(((D27-D26)/(E27-D27))/((E26-D26)/(E27-E26)))*LN(D81/(1-D81))+((1-2*E25)*(LN((1-E25)/E25)))^-1*LN((((D27-D26)/(E27-D27))*((E26-D26)/(E27-E26)))/((F26-D26)/(E27-F26))^2)*(D81-0.5)*LN(D81/(1-D81))))/(1+EXP(LN((F26-D26)/(E27-F26))+(1/2)*(LN((1-E25)/E25))^-1*LN(((D27-D26)/(E27-D27))/((E26-D26)/(E27-E26)))*LN(D81/(1-D81))+((1-2*E25)*(LN((1-E25)/E25)))^-1*LN((((D27-D26)/(E27-D27))*((E26-D26)/(E27-E26)))/((F26-D26)/(E27-F26))^2)*(D81-0.5)*LN(D81/(1-D81)))),NA())))))</f>
        <v>31.873398119820216</v>
      </c>
      <c r="F81" s="49">
        <f>IF(F27&lt;&gt;"",NA(),IF(F25="u",((1/2)*(LN((1-E25)/E25))^-1*(D27-E26)/(D81*(1-D81))+((1-2*E25)*(LN((1-E25)/E25)))^-1*(1-2*(F26-E26)/(D27-E26))*(D27-E26)*((D81-0.5)/(D81*(1-D81))+LN(D81/(1-D81))))^(-1),IF(F25="sl",((1/2)*(LN((1-E25)/E25))^-1*LN((D27-D26)/(E26-D26))/(D81*(1-D81))+((1-2*E25)*(LN((1-E25)/E25)))^-1*LN(((D27-D26)*(E26-D26))/(F26-D26)^2)*((D81-0.5)/(D81*(1-D81))+LN(D81/(1-D81))))^(-1)*EXP(-(LN(F26-D26)+(1/2)*(LN((1-E25)/E25))^-1*LN((D27-D26)/(E26-D26))*LN(D81/(1-D81))+((1-2*E25)*(LN((1-E25)/E25)))^-1*LN(((D27-D26)*(E26-D26))/(F26-D26)^2)*(D81-0.5)*LN(D81/(1-D81)))),IF(F25="su",(-(1/2)*(LN((1-E25)/E25))^-1*LN((E27-D27)/(E27-E26))/(D81*(1-D81))-((1-2*E25)*(LN((1-E25)/E25)))^-1*LN(((E27-D27)*(E27-E26))/(E27-F26)^2)*((D81-0.5)/(D81*(1-D81))+LN(D81/(1-D81))))^(-1)*EXP((-LN(E27-F26)-(1/2)*(LN((1-E25)/E25))^-1*LN((E27-D27)/(E27-E26))*LN(D81/(1-D81))-((1-2*E25)*(LN((1-E25)/E25)))^-1*LN(((E27-D27)*(E27-E26))/(E27-F26)^2)*(D81-0.5)*LN(D81/(1-D81)))),IF(F25="b",((1/2)*(LN((1-E25)/E25))^-1*LN(((D27-D26)/(E27-D27))/((E26-D26)/(E27-E26)))/(D81*(1-D81))+((1-2*E25)*(LN((1-E25)/E25)))^-1*LN((((D27-D26)/(E27-D27))*((E26-D26)/(E27-E26)))/((F26-D26)/(E27-F26))^2)*((D81-0.5)/(D81*(1-D81))+LN(D81/(1-D81))))^(-1)*(1+EXP(LN((F26-D26)/(E27-F26))+(1/2)*(LN((1-E25)/E25))^-1*LN(((D27-D26)/(E27-D27))/((E26-D26)/(E27-E26)))*LN(D81/(1-D81))+((1-2*E25)*(LN((1-E25)/E25)))^-1*LN((((D27-D26)/(E27-D27))*((E26-D26)/(E27-E26)))/((F26-D26)/(E27-F26))^2)*(D81-0.5)*LN(D81/(1-D81))))^2/((E27-D26)*EXP(LN((F26-D26)/(E27-F26))+(1/2)*(LN((1-E25)/E25))^-1*LN(((D27-D26)/(E27-D27))/((E26-D26)/(E27-E26)))*LN(D81/(1-D81))+((1-2*E25)*(LN((1-E25)/E25)))^-1*LN((((D27-D26)/(E27-D27))*((E26-D26)/(E27-E26)))/((F26-D26)/(E27-F26))^2)*(D81-0.5)*LN(D81/(1-D81)))),NA())))))</f>
        <v>2.9902941327443602E-2</v>
      </c>
      <c r="H81" s="72">
        <v>45</v>
      </c>
      <c r="I81" s="69">
        <f t="shared" si="0"/>
        <v>47.621622416443792</v>
      </c>
      <c r="J81" s="70">
        <f t="shared" si="1"/>
        <v>80</v>
      </c>
      <c r="K81" s="71">
        <f t="shared" si="2"/>
        <v>1.5132365656103744E-2</v>
      </c>
    </row>
    <row r="82" spans="4:11" x14ac:dyDescent="0.35">
      <c r="D82" s="47">
        <f>IF(F27&lt;&gt;"",NA(),(ROW()-ROW(D40))/100)</f>
        <v>0.42</v>
      </c>
      <c r="E82" s="48">
        <f>IF(F27&lt;&gt;"",NA(),IF(F25="u",F26+(1/2)*(LN((1-E25)/E25))^-1*(D27-E26)*LN(D82/(1-D82))+((1-2*E25)*(LN((1-E25)/E25)))^-1*(1-2*(F26-E26)/(D27-E26))*(D27-E26)*(D82-0.5)*LN(D82/(1-D82)),IF(F25="sl",D26+EXP(LN(F26-D26)+(1/2)*(LN((1-E25)/E25))^-1*LN((D27-D26)/(E26-D26))*LN(D82/(1-D82))+((1-2*E25)*(LN((1-E25)/E25)))^-1*LN(((D27-D26)*(E26-D26))/(F26-D26)^2)*(D82-0.5)*LN(D82/(1-D82))),IF(F25="su",E27-EXP(-(-LN(E27-F26)-(1/2)*(LN((1-E25)/E25))^-1*LN((E27-D27)/(E27-E26))*LN(D82/(1-D82))-((1-2*E25)*(LN((1-E25)/E25)))^-1*LN(((E27-D27)*(E27-E26))/(E27-F26)^2)*(D82-0.5)*LN(D82/(1-D82)))),IF(F25="b",(D26+E27*EXP(LN((F26-D26)/(E27-F26))+(1/2)*(LN((1-E25)/E25))^-1*LN(((D27-D26)/(E27-D27))/((E26-D26)/(E27-E26)))*LN(D82/(1-D82))+((1-2*E25)*(LN((1-E25)/E25)))^-1*LN((((D27-D26)/(E27-D27))*((E26-D26)/(E27-E26)))/((F26-D26)/(E27-F26))^2)*(D82-0.5)*LN(D82/(1-D82))))/(1+EXP(LN((F26-D26)/(E27-F26))+(1/2)*(LN((1-E25)/E25))^-1*LN(((D27-D26)/(E27-D27))/((E26-D26)/(E27-E26)))*LN(D82/(1-D82))+((1-2*E25)*(LN((1-E25)/E25)))^-1*LN((((D27-D26)/(E27-D27))*((E26-D26)/(E27-E26)))/((F26-D26)/(E27-F26))^2)*(D82-0.5)*LN(D82/(1-D82)))),NA())))))</f>
        <v>32.208890471982215</v>
      </c>
      <c r="F82" s="49">
        <f>IF(F27&lt;&gt;"",NA(),IF(F25="u",((1/2)*(LN((1-E25)/E25))^-1*(D27-E26)/(D82*(1-D82))+((1-2*E25)*(LN((1-E25)/E25)))^-1*(1-2*(F26-E26)/(D27-E26))*(D27-E26)*((D82-0.5)/(D82*(1-D82))+LN(D82/(1-D82))))^(-1),IF(F25="sl",((1/2)*(LN((1-E25)/E25))^-1*LN((D27-D26)/(E26-D26))/(D82*(1-D82))+((1-2*E25)*(LN((1-E25)/E25)))^-1*LN(((D27-D26)*(E26-D26))/(F26-D26)^2)*((D82-0.5)/(D82*(1-D82))+LN(D82/(1-D82))))^(-1)*EXP(-(LN(F26-D26)+(1/2)*(LN((1-E25)/E25))^-1*LN((D27-D26)/(E26-D26))*LN(D82/(1-D82))+((1-2*E25)*(LN((1-E25)/E25)))^-1*LN(((D27-D26)*(E26-D26))/(F26-D26)^2)*(D82-0.5)*LN(D82/(1-D82)))),IF(F25="su",(-(1/2)*(LN((1-E25)/E25))^-1*LN((E27-D27)/(E27-E26))/(D82*(1-D82))-((1-2*E25)*(LN((1-E25)/E25)))^-1*LN(((E27-D27)*(E27-E26))/(E27-F26)^2)*((D82-0.5)/(D82*(1-D82))+LN(D82/(1-D82))))^(-1)*EXP((-LN(E27-F26)-(1/2)*(LN((1-E25)/E25))^-1*LN((E27-D27)/(E27-E26))*LN(D82/(1-D82))-((1-2*E25)*(LN((1-E25)/E25)))^-1*LN(((E27-D27)*(E27-E26))/(E27-F26)^2)*(D82-0.5)*LN(D82/(1-D82)))),IF(F25="b",((1/2)*(LN((1-E25)/E25))^-1*LN(((D27-D26)/(E27-D27))/((E26-D26)/(E27-E26)))/(D82*(1-D82))+((1-2*E25)*(LN((1-E25)/E25)))^-1*LN((((D27-D26)/(E27-D27))*((E26-D26)/(E27-E26)))/((F26-D26)/(E27-F26))^2)*((D82-0.5)/(D82*(1-D82))+LN(D82/(1-D82))))^(-1)*(1+EXP(LN((F26-D26)/(E27-F26))+(1/2)*(LN((1-E25)/E25))^-1*LN(((D27-D26)/(E27-D27))/((E26-D26)/(E27-E26)))*LN(D82/(1-D82))+((1-2*E25)*(LN((1-E25)/E25)))^-1*LN((((D27-D26)/(E27-D27))*((E26-D26)/(E27-E26)))/((F26-D26)/(E27-F26))^2)*(D82-0.5)*LN(D82/(1-D82))))^2/((E27-D26)*EXP(LN((F26-D26)/(E27-F26))+(1/2)*(LN((1-E25)/E25))^-1*LN(((D27-D26)/(E27-D27))/((E26-D26)/(E27-E26)))*LN(D82/(1-D82))+((1-2*E25)*(LN((1-E25)/E25)))^-1*LN((((D27-D26)/(E27-D27))*((E26-D26)/(E27-E26)))/((F26-D26)/(E27-F26))^2)*(D82-0.5)*LN(D82/(1-D82)))),NA())))))</f>
        <v>2.9707459719825205E-2</v>
      </c>
      <c r="H82" s="72">
        <v>46</v>
      </c>
      <c r="I82" s="69">
        <f t="shared" si="0"/>
        <v>48.891682846386878</v>
      </c>
      <c r="J82" s="70">
        <f t="shared" si="1"/>
        <v>82</v>
      </c>
      <c r="K82" s="71">
        <f t="shared" si="2"/>
        <v>1.4102056767200341E-2</v>
      </c>
    </row>
    <row r="83" spans="4:11" x14ac:dyDescent="0.35">
      <c r="D83" s="47">
        <f>IF(F27&lt;&gt;"",NA(),(ROW()-ROW(D40))/100)</f>
        <v>0.43</v>
      </c>
      <c r="E83" s="48">
        <f>IF(F27&lt;&gt;"",NA(),IF(F25="u",F26+(1/2)*(LN((1-E25)/E25))^-1*(D27-E26)*LN(D83/(1-D83))+((1-2*E25)*(LN((1-E25)/E25)))^-1*(1-2*(F26-E26)/(D27-E26))*(D27-E26)*(D83-0.5)*LN(D83/(1-D83)),IF(F25="sl",D26+EXP(LN(F26-D26)+(1/2)*(LN((1-E25)/E25))^-1*LN((D27-D26)/(E26-D26))*LN(D83/(1-D83))+((1-2*E25)*(LN((1-E25)/E25)))^-1*LN(((D27-D26)*(E26-D26))/(F26-D26)^2)*(D83-0.5)*LN(D83/(1-D83))),IF(F25="su",E27-EXP(-(-LN(E27-F26)-(1/2)*(LN((1-E25)/E25))^-1*LN((E27-D27)/(E27-E26))*LN(D83/(1-D83))-((1-2*E25)*(LN((1-E25)/E25)))^-1*LN(((E27-D27)*(E27-E26))/(E27-F26)^2)*(D83-0.5)*LN(D83/(1-D83)))),IF(F25="b",(D26+E27*EXP(LN((F26-D26)/(E27-F26))+(1/2)*(LN((1-E25)/E25))^-1*LN(((D27-D26)/(E27-D27))/((E26-D26)/(E27-E26)))*LN(D83/(1-D83))+((1-2*E25)*(LN((1-E25)/E25)))^-1*LN((((D27-D26)/(E27-D27))*((E26-D26)/(E27-E26)))/((F26-D26)/(E27-F26))^2)*(D83-0.5)*LN(D83/(1-D83))))/(1+EXP(LN((F26-D26)/(E27-F26))+(1/2)*(LN((1-E25)/E25))^-1*LN(((D27-D26)/(E27-D27))/((E26-D26)/(E27-E26)))*LN(D83/(1-D83))+((1-2*E25)*(LN((1-E25)/E25)))^-1*LN((((D27-D26)/(E27-D27))*((E26-D26)/(E27-E26)))/((F26-D26)/(E27-F26))^2)*(D83-0.5)*LN(D83/(1-D83)))),NA())))))</f>
        <v>32.546721741465596</v>
      </c>
      <c r="F83" s="49">
        <f>IF(F27&lt;&gt;"",NA(),IF(F25="u",((1/2)*(LN((1-E25)/E25))^-1*(D27-E26)/(D83*(1-D83))+((1-2*E25)*(LN((1-E25)/E25)))^-1*(1-2*(F26-E26)/(D27-E26))*(D27-E26)*((D83-0.5)/(D83*(1-D83))+LN(D83/(1-D83))))^(-1),IF(F25="sl",((1/2)*(LN((1-E25)/E25))^-1*LN((D27-D26)/(E26-D26))/(D83*(1-D83))+((1-2*E25)*(LN((1-E25)/E25)))^-1*LN(((D27-D26)*(E26-D26))/(F26-D26)^2)*((D83-0.5)/(D83*(1-D83))+LN(D83/(1-D83))))^(-1)*EXP(-(LN(F26-D26)+(1/2)*(LN((1-E25)/E25))^-1*LN((D27-D26)/(E26-D26))*LN(D83/(1-D83))+((1-2*E25)*(LN((1-E25)/E25)))^-1*LN(((D27-D26)*(E26-D26))/(F26-D26)^2)*(D83-0.5)*LN(D83/(1-D83)))),IF(F25="su",(-(1/2)*(LN((1-E25)/E25))^-1*LN((E27-D27)/(E27-E26))/(D83*(1-D83))-((1-2*E25)*(LN((1-E25)/E25)))^-1*LN(((E27-D27)*(E27-E26))/(E27-F26)^2)*((D83-0.5)/(D83*(1-D83))+LN(D83/(1-D83))))^(-1)*EXP((-LN(E27-F26)-(1/2)*(LN((1-E25)/E25))^-1*LN((E27-D27)/(E27-E26))*LN(D83/(1-D83))-((1-2*E25)*(LN((1-E25)/E25)))^-1*LN(((E27-D27)*(E27-E26))/(E27-F26)^2)*(D83-0.5)*LN(D83/(1-D83)))),IF(F25="b",((1/2)*(LN((1-E25)/E25))^-1*LN(((D27-D26)/(E27-D27))/((E26-D26)/(E27-E26)))/(D83*(1-D83))+((1-2*E25)*(LN((1-E25)/E25)))^-1*LN((((D27-D26)/(E27-D27))*((E26-D26)/(E27-E26)))/((F26-D26)/(E27-F26))^2)*((D83-0.5)/(D83*(1-D83))+LN(D83/(1-D83))))^(-1)*(1+EXP(LN((F26-D26)/(E27-F26))+(1/2)*(LN((1-E25)/E25))^-1*LN(((D27-D26)/(E27-D27))/((E26-D26)/(E27-E26)))*LN(D83/(1-D83))+((1-2*E25)*(LN((1-E25)/E25)))^-1*LN((((D27-D26)/(E27-D27))*((E26-D26)/(E27-E26)))/((F26-D26)/(E27-F26))^2)*(D83-0.5)*LN(D83/(1-D83))))^2/((E27-D26)*EXP(LN((F26-D26)/(E27-F26))+(1/2)*(LN((1-E25)/E25))^-1*LN(((D27-D26)/(E27-D27))/((E26-D26)/(E27-E26)))*LN(D83/(1-D83))+((1-2*E25)*(LN((1-E25)/E25)))^-1*LN((((D27-D26)/(E27-D27))*((E26-D26)/(E27-E26)))/((F26-D26)/(E27-F26))^2)*(D83-0.5)*LN(D83/(1-D83)))),NA())))))</f>
        <v>2.9490478711397365E-2</v>
      </c>
      <c r="H83" s="72">
        <v>47</v>
      </c>
      <c r="I83" s="69">
        <f t="shared" si="0"/>
        <v>50.161743276329965</v>
      </c>
      <c r="J83" s="70">
        <f t="shared" si="1"/>
        <v>84</v>
      </c>
      <c r="K83" s="71">
        <f t="shared" si="2"/>
        <v>1.3123291143863843E-2</v>
      </c>
    </row>
    <row r="84" spans="4:11" x14ac:dyDescent="0.35">
      <c r="D84" s="47">
        <f>IF(F27&lt;&gt;"",NA(),(ROW()-ROW(D40))/100)</f>
        <v>0.44</v>
      </c>
      <c r="E84" s="48">
        <f>IF(F27&lt;&gt;"",NA(),IF(F25="u",F26+(1/2)*(LN((1-E25)/E25))^-1*(D27-E26)*LN(D84/(1-D84))+((1-2*E25)*(LN((1-E25)/E25)))^-1*(1-2*(F26-E26)/(D27-E26))*(D27-E26)*(D84-0.5)*LN(D84/(1-D84)),IF(F25="sl",D26+EXP(LN(F26-D26)+(1/2)*(LN((1-E25)/E25))^-1*LN((D27-D26)/(E26-D26))*LN(D84/(1-D84))+((1-2*E25)*(LN((1-E25)/E25)))^-1*LN(((D27-D26)*(E26-D26))/(F26-D26)^2)*(D84-0.5)*LN(D84/(1-D84))),IF(F25="su",E27-EXP(-(-LN(E27-F26)-(1/2)*(LN((1-E25)/E25))^-1*LN((E27-D27)/(E27-E26))*LN(D84/(1-D84))-((1-2*E25)*(LN((1-E25)/E25)))^-1*LN(((E27-D27)*(E27-E26))/(E27-F26)^2)*(D84-0.5)*LN(D84/(1-D84)))),IF(F25="b",(D26+E27*EXP(LN((F26-D26)/(E27-F26))+(1/2)*(LN((1-E25)/E25))^-1*LN(((D27-D26)/(E27-D27))/((E26-D26)/(E27-E26)))*LN(D84/(1-D84))+((1-2*E25)*(LN((1-E25)/E25)))^-1*LN((((D27-D26)/(E27-D27))*((E26-D26)/(E27-E26)))/((F26-D26)/(E27-F26))^2)*(D84-0.5)*LN(D84/(1-D84))))/(1+EXP(LN((F26-D26)/(E27-F26))+(1/2)*(LN((1-E25)/E25))^-1*LN(((D27-D26)/(E27-D27))/((E26-D26)/(E27-E26)))*LN(D84/(1-D84))+((1-2*E25)*(LN((1-E25)/E25)))^-1*LN((((D27-D26)/(E27-D27))*((E26-D26)/(E27-E26)))/((F26-D26)/(E27-F26))^2)*(D84-0.5)*LN(D84/(1-D84)))),NA())))))</f>
        <v>32.887166545645862</v>
      </c>
      <c r="F84" s="49">
        <f>IF(F27&lt;&gt;"",NA(),IF(F25="u",((1/2)*(LN((1-E25)/E25))^-1*(D27-E26)/(D84*(1-D84))+((1-2*E25)*(LN((1-E25)/E25)))^-1*(1-2*(F26-E26)/(D27-E26))*(D27-E26)*((D84-0.5)/(D84*(1-D84))+LN(D84/(1-D84))))^(-1),IF(F25="sl",((1/2)*(LN((1-E25)/E25))^-1*LN((D27-D26)/(E26-D26))/(D84*(1-D84))+((1-2*E25)*(LN((1-E25)/E25)))^-1*LN(((D27-D26)*(E26-D26))/(F26-D26)^2)*((D84-0.5)/(D84*(1-D84))+LN(D84/(1-D84))))^(-1)*EXP(-(LN(F26-D26)+(1/2)*(LN((1-E25)/E25))^-1*LN((D27-D26)/(E26-D26))*LN(D84/(1-D84))+((1-2*E25)*(LN((1-E25)/E25)))^-1*LN(((D27-D26)*(E26-D26))/(F26-D26)^2)*(D84-0.5)*LN(D84/(1-D84)))),IF(F25="su",(-(1/2)*(LN((1-E25)/E25))^-1*LN((E27-D27)/(E27-E26))/(D84*(1-D84))-((1-2*E25)*(LN((1-E25)/E25)))^-1*LN(((E27-D27)*(E27-E26))/(E27-F26)^2)*((D84-0.5)/(D84*(1-D84))+LN(D84/(1-D84))))^(-1)*EXP((-LN(E27-F26)-(1/2)*(LN((1-E25)/E25))^-1*LN((E27-D27)/(E27-E26))*LN(D84/(1-D84))-((1-2*E25)*(LN((1-E25)/E25)))^-1*LN(((E27-D27)*(E27-E26))/(E27-F26)^2)*(D84-0.5)*LN(D84/(1-D84)))),IF(F25="b",((1/2)*(LN((1-E25)/E25))^-1*LN(((D27-D26)/(E27-D27))/((E26-D26)/(E27-E26)))/(D84*(1-D84))+((1-2*E25)*(LN((1-E25)/E25)))^-1*LN((((D27-D26)/(E27-D27))*((E26-D26)/(E27-E26)))/((F26-D26)/(E27-F26))^2)*((D84-0.5)/(D84*(1-D84))+LN(D84/(1-D84))))^(-1)*(1+EXP(LN((F26-D26)/(E27-F26))+(1/2)*(LN((1-E25)/E25))^-1*LN(((D27-D26)/(E27-D27))/((E26-D26)/(E27-E26)))*LN(D84/(1-D84))+((1-2*E25)*(LN((1-E25)/E25)))^-1*LN((((D27-D26)/(E27-D27))*((E26-D26)/(E27-E26)))/((F26-D26)/(E27-F26))^2)*(D84-0.5)*LN(D84/(1-D84))))^2/((E27-D26)*EXP(LN((F26-D26)/(E27-F26))+(1/2)*(LN((1-E25)/E25))^-1*LN(((D27-D26)/(E27-D27))/((E26-D26)/(E27-E26)))*LN(D84/(1-D84))+((1-2*E25)*(LN((1-E25)/E25)))^-1*LN((((D27-D26)/(E27-D27))*((E26-D26)/(E27-E26)))/((F26-D26)/(E27-F26))^2)*(D84-0.5)*LN(D84/(1-D84)))),NA())))))</f>
        <v>2.925323795532107E-2</v>
      </c>
      <c r="H84" s="72">
        <v>48</v>
      </c>
      <c r="I84" s="69">
        <f t="shared" si="0"/>
        <v>51.431803706273051</v>
      </c>
      <c r="J84" s="70">
        <f t="shared" si="1"/>
        <v>85</v>
      </c>
      <c r="K84" s="71">
        <f t="shared" si="2"/>
        <v>1.2196309901037613E-2</v>
      </c>
    </row>
    <row r="85" spans="4:11" x14ac:dyDescent="0.35">
      <c r="D85" s="47">
        <f>IF(F27&lt;&gt;"",NA(),(ROW()-ROW(D40))/100)</f>
        <v>0.45</v>
      </c>
      <c r="E85" s="48">
        <f>IF(F27&lt;&gt;"",NA(),IF(F25="u",F26+(1/2)*(LN((1-E25)/E25))^-1*(D27-E26)*LN(D85/(1-D85))+((1-2*E25)*(LN((1-E25)/E25)))^-1*(1-2*(F26-E26)/(D27-E26))*(D27-E26)*(D85-0.5)*LN(D85/(1-D85)),IF(F25="sl",D26+EXP(LN(F26-D26)+(1/2)*(LN((1-E25)/E25))^-1*LN((D27-D26)/(E26-D26))*LN(D85/(1-D85))+((1-2*E25)*(LN((1-E25)/E25)))^-1*LN(((D27-D26)*(E26-D26))/(F26-D26)^2)*(D85-0.5)*LN(D85/(1-D85))),IF(F25="su",E27-EXP(-(-LN(E27-F26)-(1/2)*(LN((1-E25)/E25))^-1*LN((E27-D27)/(E27-E26))*LN(D85/(1-D85))-((1-2*E25)*(LN((1-E25)/E25)))^-1*LN(((E27-D27)*(E27-E26))/(E27-F26)^2)*(D85-0.5)*LN(D85/(1-D85)))),IF(F25="b",(D26+E27*EXP(LN((F26-D26)/(E27-F26))+(1/2)*(LN((1-E25)/E25))^-1*LN(((D27-D26)/(E27-D27))/((E26-D26)/(E27-E26)))*LN(D85/(1-D85))+((1-2*E25)*(LN((1-E25)/E25)))^-1*LN((((D27-D26)/(E27-D27))*((E26-D26)/(E27-E26)))/((F26-D26)/(E27-F26))^2)*(D85-0.5)*LN(D85/(1-D85))))/(1+EXP(LN((F26-D26)/(E27-F26))+(1/2)*(LN((1-E25)/E25))^-1*LN(((D27-D26)/(E27-D27))/((E26-D26)/(E27-E26)))*LN(D85/(1-D85))+((1-2*E25)*(LN((1-E25)/E25)))^-1*LN((((D27-D26)/(E27-D27))*((E26-D26)/(E27-E26)))/((F26-D26)/(E27-F26))^2)*(D85-0.5)*LN(D85/(1-D85)))),NA())))))</f>
        <v>33.230497344384908</v>
      </c>
      <c r="F85" s="49">
        <f>IF(F27&lt;&gt;"",NA(),IF(F25="u",((1/2)*(LN((1-E25)/E25))^-1*(D27-E26)/(D85*(1-D85))+((1-2*E25)*(LN((1-E25)/E25)))^-1*(1-2*(F26-E26)/(D27-E26))*(D27-E26)*((D85-0.5)/(D85*(1-D85))+LN(D85/(1-D85))))^(-1),IF(F25="sl",((1/2)*(LN((1-E25)/E25))^-1*LN((D27-D26)/(E26-D26))/(D85*(1-D85))+((1-2*E25)*(LN((1-E25)/E25)))^-1*LN(((D27-D26)*(E26-D26))/(F26-D26)^2)*((D85-0.5)/(D85*(1-D85))+LN(D85/(1-D85))))^(-1)*EXP(-(LN(F26-D26)+(1/2)*(LN((1-E25)/E25))^-1*LN((D27-D26)/(E26-D26))*LN(D85/(1-D85))+((1-2*E25)*(LN((1-E25)/E25)))^-1*LN(((D27-D26)*(E26-D26))/(F26-D26)^2)*(D85-0.5)*LN(D85/(1-D85)))),IF(F25="su",(-(1/2)*(LN((1-E25)/E25))^-1*LN((E27-D27)/(E27-E26))/(D85*(1-D85))-((1-2*E25)*(LN((1-E25)/E25)))^-1*LN(((E27-D27)*(E27-E26))/(E27-F26)^2)*((D85-0.5)/(D85*(1-D85))+LN(D85/(1-D85))))^(-1)*EXP((-LN(E27-F26)-(1/2)*(LN((1-E25)/E25))^-1*LN((E27-D27)/(E27-E26))*LN(D85/(1-D85))-((1-2*E25)*(LN((1-E25)/E25)))^-1*LN(((E27-D27)*(E27-E26))/(E27-F26)^2)*(D85-0.5)*LN(D85/(1-D85)))),IF(F25="b",((1/2)*(LN((1-E25)/E25))^-1*LN(((D27-D26)/(E27-D27))/((E26-D26)/(E27-E26)))/(D85*(1-D85))+((1-2*E25)*(LN((1-E25)/E25)))^-1*LN((((D27-D26)/(E27-D27))*((E26-D26)/(E27-E26)))/((F26-D26)/(E27-F26))^2)*((D85-0.5)/(D85*(1-D85))+LN(D85/(1-D85))))^(-1)*(1+EXP(LN((F26-D26)/(E27-F26))+(1/2)*(LN((1-E25)/E25))^-1*LN(((D27-D26)/(E27-D27))/((E26-D26)/(E27-E26)))*LN(D85/(1-D85))+((1-2*E25)*(LN((1-E25)/E25)))^-1*LN((((D27-D26)/(E27-D27))*((E26-D26)/(E27-E26)))/((F26-D26)/(E27-F26))^2)*(D85-0.5)*LN(D85/(1-D85))))^2/((E27-D26)*EXP(LN((F26-D26)/(E27-F26))+(1/2)*(LN((1-E25)/E25))^-1*LN(((D27-D26)/(E27-D27))/((E26-D26)/(E27-E26)))*LN(D85/(1-D85))+((1-2*E25)*(LN((1-E25)/E25)))^-1*LN((((D27-D26)/(E27-D27))*((E26-D26)/(E27-E26)))/((F26-D26)/(E27-F26))^2)*(D85-0.5)*LN(D85/(1-D85)))),NA())))))</f>
        <v>2.8996907720511313E-2</v>
      </c>
      <c r="H85" s="72">
        <v>49</v>
      </c>
      <c r="I85" s="69">
        <f t="shared" si="0"/>
        <v>52.701864136216138</v>
      </c>
      <c r="J85" s="70">
        <f t="shared" si="1"/>
        <v>87</v>
      </c>
      <c r="K85" s="71">
        <f t="shared" si="2"/>
        <v>1.1321629692359426E-2</v>
      </c>
    </row>
    <row r="86" spans="4:11" x14ac:dyDescent="0.35">
      <c r="D86" s="47">
        <f>IF(F27&lt;&gt;"",NA(),(ROW()-ROW(D40))/100)</f>
        <v>0.46</v>
      </c>
      <c r="E86" s="48">
        <f>IF(F27&lt;&gt;"",NA(),IF(F25="u",F26+(1/2)*(LN((1-E25)/E25))^-1*(D27-E26)*LN(D86/(1-D86))+((1-2*E25)*(LN((1-E25)/E25)))^-1*(1-2*(F26-E26)/(D27-E26))*(D27-E26)*(D86-0.5)*LN(D86/(1-D86)),IF(F25="sl",D26+EXP(LN(F26-D26)+(1/2)*(LN((1-E25)/E25))^-1*LN((D27-D26)/(E26-D26))*LN(D86/(1-D86))+((1-2*E25)*(LN((1-E25)/E25)))^-1*LN(((D27-D26)*(E26-D26))/(F26-D26)^2)*(D86-0.5)*LN(D86/(1-D86))),IF(F25="su",E27-EXP(-(-LN(E27-F26)-(1/2)*(LN((1-E25)/E25))^-1*LN((E27-D27)/(E27-E26))*LN(D86/(1-D86))-((1-2*E25)*(LN((1-E25)/E25)))^-1*LN(((E27-D27)*(E27-E26))/(E27-F26)^2)*(D86-0.5)*LN(D86/(1-D86)))),IF(F25="b",(D26+E27*EXP(LN((F26-D26)/(E27-F26))+(1/2)*(LN((1-E25)/E25))^-1*LN(((D27-D26)/(E27-D27))/((E26-D26)/(E27-E26)))*LN(D86/(1-D86))+((1-2*E25)*(LN((1-E25)/E25)))^-1*LN((((D27-D26)/(E27-D27))*((E26-D26)/(E27-E26)))/((F26-D26)/(E27-F26))^2)*(D86-0.5)*LN(D86/(1-D86))))/(1+EXP(LN((F26-D26)/(E27-F26))+(1/2)*(LN((1-E25)/E25))^-1*LN(((D27-D26)/(E27-D27))/((E26-D26)/(E27-E26)))*LN(D86/(1-D86))+((1-2*E25)*(LN((1-E25)/E25)))^-1*LN((((D27-D26)/(E27-D27))*((E26-D26)/(E27-E26)))/((F26-D26)/(E27-F26))^2)*(D86-0.5)*LN(D86/(1-D86)))),NA())))))</f>
        <v>33.576985844452643</v>
      </c>
      <c r="F86" s="49">
        <f>IF(F27&lt;&gt;"",NA(),IF(F25="u",((1/2)*(LN((1-E25)/E25))^-1*(D27-E26)/(D86*(1-D86))+((1-2*E25)*(LN((1-E25)/E25)))^-1*(1-2*(F26-E26)/(D27-E26))*(D27-E26)*((D86-0.5)/(D86*(1-D86))+LN(D86/(1-D86))))^(-1),IF(F25="sl",((1/2)*(LN((1-E25)/E25))^-1*LN((D27-D26)/(E26-D26))/(D86*(1-D86))+((1-2*E25)*(LN((1-E25)/E25)))^-1*LN(((D27-D26)*(E26-D26))/(F26-D26)^2)*((D86-0.5)/(D86*(1-D86))+LN(D86/(1-D86))))^(-1)*EXP(-(LN(F26-D26)+(1/2)*(LN((1-E25)/E25))^-1*LN((D27-D26)/(E26-D26))*LN(D86/(1-D86))+((1-2*E25)*(LN((1-E25)/E25)))^-1*LN(((D27-D26)*(E26-D26))/(F26-D26)^2)*(D86-0.5)*LN(D86/(1-D86)))),IF(F25="su",(-(1/2)*(LN((1-E25)/E25))^-1*LN((E27-D27)/(E27-E26))/(D86*(1-D86))-((1-2*E25)*(LN((1-E25)/E25)))^-1*LN(((E27-D27)*(E27-E26))/(E27-F26)^2)*((D86-0.5)/(D86*(1-D86))+LN(D86/(1-D86))))^(-1)*EXP((-LN(E27-F26)-(1/2)*(LN((1-E25)/E25))^-1*LN((E27-D27)/(E27-E26))*LN(D86/(1-D86))-((1-2*E25)*(LN((1-E25)/E25)))^-1*LN(((E27-D27)*(E27-E26))/(E27-F26)^2)*(D86-0.5)*LN(D86/(1-D86)))),IF(F25="b",((1/2)*(LN((1-E25)/E25))^-1*LN(((D27-D26)/(E27-D27))/((E26-D26)/(E27-E26)))/(D86*(1-D86))+((1-2*E25)*(LN((1-E25)/E25)))^-1*LN((((D27-D26)/(E27-D27))*((E26-D26)/(E27-E26)))/((F26-D26)/(E27-F26))^2)*((D86-0.5)/(D86*(1-D86))+LN(D86/(1-D86))))^(-1)*(1+EXP(LN((F26-D26)/(E27-F26))+(1/2)*(LN((1-E25)/E25))^-1*LN(((D27-D26)/(E27-D27))/((E26-D26)/(E27-E26)))*LN(D86/(1-D86))+((1-2*E25)*(LN((1-E25)/E25)))^-1*LN((((D27-D26)/(E27-D27))*((E26-D26)/(E27-E26)))/((F26-D26)/(E27-F26))^2)*(D86-0.5)*LN(D86/(1-D86))))^2/((E27-D26)*EXP(LN((F26-D26)/(E27-F26))+(1/2)*(LN((1-E25)/E25))^-1*LN(((D27-D26)/(E27-D27))/((E26-D26)/(E27-E26)))*LN(D86/(1-D86))+((1-2*E25)*(LN((1-E25)/E25)))^-1*LN((((D27-D26)/(E27-D27))*((E26-D26)/(E27-E26)))/((F26-D26)/(E27-F26))^2)*(D86-0.5)*LN(D86/(1-D86)))),NA())))))</f>
        <v>2.872259113165888E-2</v>
      </c>
      <c r="H86" s="72">
        <v>50</v>
      </c>
      <c r="I86" s="69">
        <f t="shared" si="0"/>
        <v>53.971924566159224</v>
      </c>
      <c r="J86" s="70">
        <f t="shared" si="1"/>
        <v>88</v>
      </c>
      <c r="K86" s="71">
        <f t="shared" si="2"/>
        <v>1.0495197526220889E-2</v>
      </c>
    </row>
    <row r="87" spans="4:11" x14ac:dyDescent="0.35">
      <c r="D87" s="47">
        <f>IF(F27&lt;&gt;"",NA(),(ROW()-ROW(D40))/100)</f>
        <v>0.47</v>
      </c>
      <c r="E87" s="48">
        <f>IF(F27&lt;&gt;"",NA(),IF(F25="u",F26+(1/2)*(LN((1-E25)/E25))^-1*(D27-E26)*LN(D87/(1-D87))+((1-2*E25)*(LN((1-E25)/E25)))^-1*(1-2*(F26-E26)/(D27-E26))*(D27-E26)*(D87-0.5)*LN(D87/(1-D87)),IF(F25="sl",D26+EXP(LN(F26-D26)+(1/2)*(LN((1-E25)/E25))^-1*LN((D27-D26)/(E26-D26))*LN(D87/(1-D87))+((1-2*E25)*(LN((1-E25)/E25)))^-1*LN(((D27-D26)*(E26-D26))/(F26-D26)^2)*(D87-0.5)*LN(D87/(1-D87))),IF(F25="su",E27-EXP(-(-LN(E27-F26)-(1/2)*(LN((1-E25)/E25))^-1*LN((E27-D27)/(E27-E26))*LN(D87/(1-D87))-((1-2*E25)*(LN((1-E25)/E25)))^-1*LN(((E27-D27)*(E27-E26))/(E27-F26)^2)*(D87-0.5)*LN(D87/(1-D87)))),IF(F25="b",(D26+E27*EXP(LN((F26-D26)/(E27-F26))+(1/2)*(LN((1-E25)/E25))^-1*LN(((D27-D26)/(E27-D27))/((E26-D26)/(E27-E26)))*LN(D87/(1-D87))+((1-2*E25)*(LN((1-E25)/E25)))^-1*LN((((D27-D26)/(E27-D27))*((E26-D26)/(E27-E26)))/((F26-D26)/(E27-F26))^2)*(D87-0.5)*LN(D87/(1-D87))))/(1+EXP(LN((F26-D26)/(E27-F26))+(1/2)*(LN((1-E25)/E25))^-1*LN(((D27-D26)/(E27-D27))/((E26-D26)/(E27-E26)))*LN(D87/(1-D87))+((1-2*E25)*(LN((1-E25)/E25)))^-1*LN((((D27-D26)/(E27-D27))*((E26-D26)/(E27-E26)))/((F26-D26)/(E27-F26))^2)*(D87-0.5)*LN(D87/(1-D87)))),NA())))))</f>
        <v>33.92690435733293</v>
      </c>
      <c r="F87" s="49">
        <f>IF(F27&lt;&gt;"",NA(),IF(F25="u",((1/2)*(LN((1-E25)/E25))^-1*(D27-E26)/(D87*(1-D87))+((1-2*E25)*(LN((1-E25)/E25)))^-1*(1-2*(F26-E26)/(D27-E26))*(D27-E26)*((D87-0.5)/(D87*(1-D87))+LN(D87/(1-D87))))^(-1),IF(F25="sl",((1/2)*(LN((1-E25)/E25))^-1*LN((D27-D26)/(E26-D26))/(D87*(1-D87))+((1-2*E25)*(LN((1-E25)/E25)))^-1*LN(((D27-D26)*(E26-D26))/(F26-D26)^2)*((D87-0.5)/(D87*(1-D87))+LN(D87/(1-D87))))^(-1)*EXP(-(LN(F26-D26)+(1/2)*(LN((1-E25)/E25))^-1*LN((D27-D26)/(E26-D26))*LN(D87/(1-D87))+((1-2*E25)*(LN((1-E25)/E25)))^-1*LN(((D27-D26)*(E26-D26))/(F26-D26)^2)*(D87-0.5)*LN(D87/(1-D87)))),IF(F25="su",(-(1/2)*(LN((1-E25)/E25))^-1*LN((E27-D27)/(E27-E26))/(D87*(1-D87))-((1-2*E25)*(LN((1-E25)/E25)))^-1*LN(((E27-D27)*(E27-E26))/(E27-F26)^2)*((D87-0.5)/(D87*(1-D87))+LN(D87/(1-D87))))^(-1)*EXP((-LN(E27-F26)-(1/2)*(LN((1-E25)/E25))^-1*LN((E27-D27)/(E27-E26))*LN(D87/(1-D87))-((1-2*E25)*(LN((1-E25)/E25)))^-1*LN(((E27-D27)*(E27-E26))/(E27-F26)^2)*(D87-0.5)*LN(D87/(1-D87)))),IF(F25="b",((1/2)*(LN((1-E25)/E25))^-1*LN(((D27-D26)/(E27-D27))/((E26-D26)/(E27-E26)))/(D87*(1-D87))+((1-2*E25)*(LN((1-E25)/E25)))^-1*LN((((D27-D26)/(E27-D27))*((E26-D26)/(E27-E26)))/((F26-D26)/(E27-F26))^2)*((D87-0.5)/(D87*(1-D87))+LN(D87/(1-D87))))^(-1)*(1+EXP(LN((F26-D26)/(E27-F26))+(1/2)*(LN((1-E25)/E25))^-1*LN(((D27-D26)/(E27-D27))/((E26-D26)/(E27-E26)))*LN(D87/(1-D87))+((1-2*E25)*(LN((1-E25)/E25)))^-1*LN((((D27-D26)/(E27-D27))*((E26-D26)/(E27-E26)))/((F26-D26)/(E27-F26))^2)*(D87-0.5)*LN(D87/(1-D87))))^2/((E27-D26)*EXP(LN((F26-D26)/(E27-F26))+(1/2)*(LN((1-E25)/E25))^-1*LN(((D27-D26)/(E27-D27))/((E26-D26)/(E27-E26)))*LN(D87/(1-D87))+((1-2*E25)*(LN((1-E25)/E25)))^-1*LN((((D27-D26)/(E27-D27))*((E26-D26)/(E27-E26)))/((F26-D26)/(E27-F26))^2)*(D87-0.5)*LN(D87/(1-D87)))),NA())))))</f>
        <v>2.8431326523044163E-2</v>
      </c>
      <c r="H87" s="72">
        <v>51</v>
      </c>
      <c r="I87" s="69">
        <f t="shared" si="0"/>
        <v>55.24198499610231</v>
      </c>
      <c r="J87" s="70">
        <f t="shared" si="1"/>
        <v>90</v>
      </c>
      <c r="K87" s="71">
        <f t="shared" si="2"/>
        <v>9.7140998500583053E-3</v>
      </c>
    </row>
    <row r="88" spans="4:11" x14ac:dyDescent="0.35">
      <c r="D88" s="47">
        <f>IF(F27&lt;&gt;"",NA(),(ROW()-ROW(D40))/100)</f>
        <v>0.48</v>
      </c>
      <c r="E88" s="48">
        <f>IF(F27&lt;&gt;"",NA(),IF(F25="u",F26+(1/2)*(LN((1-E25)/E25))^-1*(D27-E26)*LN(D88/(1-D88))+((1-2*E25)*(LN((1-E25)/E25)))^-1*(1-2*(F26-E26)/(D27-E26))*(D27-E26)*(D88-0.5)*LN(D88/(1-D88)),IF(F25="sl",D26+EXP(LN(F26-D26)+(1/2)*(LN((1-E25)/E25))^-1*LN((D27-D26)/(E26-D26))*LN(D88/(1-D88))+((1-2*E25)*(LN((1-E25)/E25)))^-1*LN(((D27-D26)*(E26-D26))/(F26-D26)^2)*(D88-0.5)*LN(D88/(1-D88))),IF(F25="su",E27-EXP(-(-LN(E27-F26)-(1/2)*(LN((1-E25)/E25))^-1*LN((E27-D27)/(E27-E26))*LN(D88/(1-D88))-((1-2*E25)*(LN((1-E25)/E25)))^-1*LN(((E27-D27)*(E27-E26))/(E27-F26)^2)*(D88-0.5)*LN(D88/(1-D88)))),IF(F25="b",(D26+E27*EXP(LN((F26-D26)/(E27-F26))+(1/2)*(LN((1-E25)/E25))^-1*LN(((D27-D26)/(E27-D27))/((E26-D26)/(E27-E26)))*LN(D88/(1-D88))+((1-2*E25)*(LN((1-E25)/E25)))^-1*LN((((D27-D26)/(E27-D27))*((E26-D26)/(E27-E26)))/((F26-D26)/(E27-F26))^2)*(D88-0.5)*LN(D88/(1-D88))))/(1+EXP(LN((F26-D26)/(E27-F26))+(1/2)*(LN((1-E25)/E25))^-1*LN(((D27-D26)/(E27-D27))/((E26-D26)/(E27-E26)))*LN(D88/(1-D88))+((1-2*E25)*(LN((1-E25)/E25)))^-1*LN((((D27-D26)/(E27-D27))*((E26-D26)/(E27-E26)))/((F26-D26)/(E27-F26))^2)*(D88-0.5)*LN(D88/(1-D88)))),NA())))))</f>
        <v>34.280527128242461</v>
      </c>
      <c r="F88" s="49">
        <f>IF(F27&lt;&gt;"",NA(),IF(F25="u",((1/2)*(LN((1-E25)/E25))^-1*(D27-E26)/(D88*(1-D88))+((1-2*E25)*(LN((1-E25)/E25)))^-1*(1-2*(F26-E26)/(D27-E26))*(D27-E26)*((D88-0.5)/(D88*(1-D88))+LN(D88/(1-D88))))^(-1),IF(F25="sl",((1/2)*(LN((1-E25)/E25))^-1*LN((D27-D26)/(E26-D26))/(D88*(1-D88))+((1-2*E25)*(LN((1-E25)/E25)))^-1*LN(((D27-D26)*(E26-D26))/(F26-D26)^2)*((D88-0.5)/(D88*(1-D88))+LN(D88/(1-D88))))^(-1)*EXP(-(LN(F26-D26)+(1/2)*(LN((1-E25)/E25))^-1*LN((D27-D26)/(E26-D26))*LN(D88/(1-D88))+((1-2*E25)*(LN((1-E25)/E25)))^-1*LN(((D27-D26)*(E26-D26))/(F26-D26)^2)*(D88-0.5)*LN(D88/(1-D88)))),IF(F25="su",(-(1/2)*(LN((1-E25)/E25))^-1*LN((E27-D27)/(E27-E26))/(D88*(1-D88))-((1-2*E25)*(LN((1-E25)/E25)))^-1*LN(((E27-D27)*(E27-E26))/(E27-F26)^2)*((D88-0.5)/(D88*(1-D88))+LN(D88/(1-D88))))^(-1)*EXP((-LN(E27-F26)-(1/2)*(LN((1-E25)/E25))^-1*LN((E27-D27)/(E27-E26))*LN(D88/(1-D88))-((1-2*E25)*(LN((1-E25)/E25)))^-1*LN(((E27-D27)*(E27-E26))/(E27-F26)^2)*(D88-0.5)*LN(D88/(1-D88)))),IF(F25="b",((1/2)*(LN((1-E25)/E25))^-1*LN(((D27-D26)/(E27-D27))/((E26-D26)/(E27-E26)))/(D88*(1-D88))+((1-2*E25)*(LN((1-E25)/E25)))^-1*LN((((D27-D26)/(E27-D27))*((E26-D26)/(E27-E26)))/((F26-D26)/(E27-F26))^2)*((D88-0.5)/(D88*(1-D88))+LN(D88/(1-D88))))^(-1)*(1+EXP(LN((F26-D26)/(E27-F26))+(1/2)*(LN((1-E25)/E25))^-1*LN(((D27-D26)/(E27-D27))/((E26-D26)/(E27-E26)))*LN(D88/(1-D88))+((1-2*E25)*(LN((1-E25)/E25)))^-1*LN((((D27-D26)/(E27-D27))*((E26-D26)/(E27-E26)))/((F26-D26)/(E27-F26))^2)*(D88-0.5)*LN(D88/(1-D88))))^2/((E27-D26)*EXP(LN((F26-D26)/(E27-F26))+(1/2)*(LN((1-E25)/E25))^-1*LN(((D27-D26)/(E27-D27))/((E26-D26)/(E27-E26)))*LN(D88/(1-D88))+((1-2*E25)*(LN((1-E25)/E25)))^-1*LN((((D27-D26)/(E27-D27))*((E26-D26)/(E27-E26)))/((F26-D26)/(E27-F26))^2)*(D88-0.5)*LN(D88/(1-D88)))),NA())))))</f>
        <v>2.8124089863807891E-2</v>
      </c>
      <c r="H88" s="72">
        <v>52</v>
      </c>
      <c r="I88" s="69">
        <f t="shared" si="0"/>
        <v>56.512045426045397</v>
      </c>
      <c r="J88" s="70">
        <f t="shared" si="1"/>
        <v>91</v>
      </c>
      <c r="K88" s="71">
        <f t="shared" si="2"/>
        <v>8.9849024936363864E-3</v>
      </c>
    </row>
    <row r="89" spans="4:11" x14ac:dyDescent="0.35">
      <c r="D89" s="47">
        <f>IF(F27&lt;&gt;"",NA(),(ROW()-ROW(D40))/100)</f>
        <v>0.49</v>
      </c>
      <c r="E89" s="48">
        <f>IF(F27&lt;&gt;"",NA(),IF(F25="u",F26+(1/2)*(LN((1-E25)/E25))^-1*(D27-E26)*LN(D89/(1-D89))+((1-2*E25)*(LN((1-E25)/E25)))^-1*(1-2*(F26-E26)/(D27-E26))*(D27-E26)*(D89-0.5)*LN(D89/(1-D89)),IF(F25="sl",D26+EXP(LN(F26-D26)+(1/2)*(LN((1-E25)/E25))^-1*LN((D27-D26)/(E26-D26))*LN(D89/(1-D89))+((1-2*E25)*(LN((1-E25)/E25)))^-1*LN(((D27-D26)*(E26-D26))/(F26-D26)^2)*(D89-0.5)*LN(D89/(1-D89))),IF(F25="su",E27-EXP(-(-LN(E27-F26)-(1/2)*(LN((1-E25)/E25))^-1*LN((E27-D27)/(E27-E26))*LN(D89/(1-D89))-((1-2*E25)*(LN((1-E25)/E25)))^-1*LN(((E27-D27)*(E27-E26))/(E27-F26)^2)*(D89-0.5)*LN(D89/(1-D89)))),IF(F25="b",(D26+E27*EXP(LN((F26-D26)/(E27-F26))+(1/2)*(LN((1-E25)/E25))^-1*LN(((D27-D26)/(E27-D27))/((E26-D26)/(E27-E26)))*LN(D89/(1-D89))+((1-2*E25)*(LN((1-E25)/E25)))^-1*LN((((D27-D26)/(E27-D27))*((E26-D26)/(E27-E26)))/((F26-D26)/(E27-F26))^2)*(D89-0.5)*LN(D89/(1-D89))))/(1+EXP(LN((F26-D26)/(E27-F26))+(1/2)*(LN((1-E25)/E25))^-1*LN(((D27-D26)/(E27-D27))/((E26-D26)/(E27-E26)))*LN(D89/(1-D89))+((1-2*E25)*(LN((1-E25)/E25)))^-1*LN((((D27-D26)/(E27-D27))*((E26-D26)/(E27-E26)))/((F26-D26)/(E27-F26))^2)*(D89-0.5)*LN(D89/(1-D89)))),NA())))))</f>
        <v>34.638131653155263</v>
      </c>
      <c r="F89" s="49">
        <f>IF(F27&lt;&gt;"",NA(),IF(F25="u",((1/2)*(LN((1-E25)/E25))^-1*(D27-E26)/(D89*(1-D89))+((1-2*E25)*(LN((1-E25)/E25)))^-1*(1-2*(F26-E26)/(D27-E26))*(D27-E26)*((D89-0.5)/(D89*(1-D89))+LN(D89/(1-D89))))^(-1),IF(F25="sl",((1/2)*(LN((1-E25)/E25))^-1*LN((D27-D26)/(E26-D26))/(D89*(1-D89))+((1-2*E25)*(LN((1-E25)/E25)))^-1*LN(((D27-D26)*(E26-D26))/(F26-D26)^2)*((D89-0.5)/(D89*(1-D89))+LN(D89/(1-D89))))^(-1)*EXP(-(LN(F26-D26)+(1/2)*(LN((1-E25)/E25))^-1*LN((D27-D26)/(E26-D26))*LN(D89/(1-D89))+((1-2*E25)*(LN((1-E25)/E25)))^-1*LN(((D27-D26)*(E26-D26))/(F26-D26)^2)*(D89-0.5)*LN(D89/(1-D89)))),IF(F25="su",(-(1/2)*(LN((1-E25)/E25))^-1*LN((E27-D27)/(E27-E26))/(D89*(1-D89))-((1-2*E25)*(LN((1-E25)/E25)))^-1*LN(((E27-D27)*(E27-E26))/(E27-F26)^2)*((D89-0.5)/(D89*(1-D89))+LN(D89/(1-D89))))^(-1)*EXP((-LN(E27-F26)-(1/2)*(LN((1-E25)/E25))^-1*LN((E27-D27)/(E27-E26))*LN(D89/(1-D89))-((1-2*E25)*(LN((1-E25)/E25)))^-1*LN(((E27-D27)*(E27-E26))/(E27-F26)^2)*(D89-0.5)*LN(D89/(1-D89)))),IF(F25="b",((1/2)*(LN((1-E25)/E25))^-1*LN(((D27-D26)/(E27-D27))/((E26-D26)/(E27-E26)))/(D89*(1-D89))+((1-2*E25)*(LN((1-E25)/E25)))^-1*LN((((D27-D26)/(E27-D27))*((E26-D26)/(E27-E26)))/((F26-D26)/(E27-F26))^2)*((D89-0.5)/(D89*(1-D89))+LN(D89/(1-D89))))^(-1)*(1+EXP(LN((F26-D26)/(E27-F26))+(1/2)*(LN((1-E25)/E25))^-1*LN(((D27-D26)/(E27-D27))/((E26-D26)/(E27-E26)))*LN(D89/(1-D89))+((1-2*E25)*(LN((1-E25)/E25)))^-1*LN((((D27-D26)/(E27-D27))*((E26-D26)/(E27-E26)))/((F26-D26)/(E27-F26))^2)*(D89-0.5)*LN(D89/(1-D89))))^2/((E27-D26)*EXP(LN((F26-D26)/(E27-F26))+(1/2)*(LN((1-E25)/E25))^-1*LN(((D27-D26)/(E27-D27))/((E26-D26)/(E27-E26)))*LN(D89/(1-D89))+((1-2*E25)*(LN((1-E25)/E25)))^-1*LN((((D27-D26)/(E27-D27))*((E26-D26)/(E27-E26)))/((F26-D26)/(E27-F26))^2)*(D89-0.5)*LN(D89/(1-D89)))),NA())))))</f>
        <v>2.7801797219017543E-2</v>
      </c>
      <c r="H89" s="72">
        <v>53</v>
      </c>
      <c r="I89" s="69">
        <f t="shared" si="0"/>
        <v>57.782105855988483</v>
      </c>
      <c r="J89" s="70">
        <f t="shared" si="1"/>
        <v>92</v>
      </c>
      <c r="K89" s="71">
        <f t="shared" si="2"/>
        <v>8.2992915739082771E-3</v>
      </c>
    </row>
    <row r="90" spans="4:11" x14ac:dyDescent="0.35">
      <c r="D90" s="47">
        <f>IF(F27&lt;&gt;"",NA(),(ROW()-ROW(D40))/100)</f>
        <v>0.5</v>
      </c>
      <c r="E90" s="48">
        <f>IF(F27&lt;&gt;"",NA(),IF(F25="u",F26+(1/2)*(LN((1-E25)/E25))^-1*(D27-E26)*LN(D90/(1-D90))+((1-2*E25)*(LN((1-E25)/E25)))^-1*(1-2*(F26-E26)/(D27-E26))*(D27-E26)*(D90-0.5)*LN(D90/(1-D90)),IF(F25="sl",D26+EXP(LN(F26-D26)+(1/2)*(LN((1-E25)/E25))^-1*LN((D27-D26)/(E26-D26))*LN(D90/(1-D90))+((1-2*E25)*(LN((1-E25)/E25)))^-1*LN(((D27-D26)*(E26-D26))/(F26-D26)^2)*(D90-0.5)*LN(D90/(1-D90))),IF(F25="su",E27-EXP(-(-LN(E27-F26)-(1/2)*(LN((1-E25)/E25))^-1*LN((E27-D27)/(E27-E26))*LN(D90/(1-D90))-((1-2*E25)*(LN((1-E25)/E25)))^-1*LN(((E27-D27)*(E27-E26))/(E27-F26)^2)*(D90-0.5)*LN(D90/(1-D90)))),IF(F25="b",(D26+E27*EXP(LN((F26-D26)/(E27-F26))+(1/2)*(LN((1-E25)/E25))^-1*LN(((D27-D26)/(E27-D27))/((E26-D26)/(E27-E26)))*LN(D90/(1-D90))+((1-2*E25)*(LN((1-E25)/E25)))^-1*LN((((D27-D26)/(E27-D27))*((E26-D26)/(E27-E26)))/((F26-D26)/(E27-F26))^2)*(D90-0.5)*LN(D90/(1-D90))))/(1+EXP(LN((F26-D26)/(E27-F26))+(1/2)*(LN((1-E25)/E25))^-1*LN(((D27-D26)/(E27-D27))/((E26-D26)/(E27-E26)))*LN(D90/(1-D90))+((1-2*E25)*(LN((1-E25)/E25)))^-1*LN((((D27-D26)/(E27-D27))*((E26-D26)/(E27-E26)))/((F26-D26)/(E27-F26))^2)*(D90-0.5)*LN(D90/(1-D90)))),NA())))))</f>
        <v>35</v>
      </c>
      <c r="F90" s="49">
        <f>IF(F27&lt;&gt;"",NA(),IF(F25="u",((1/2)*(LN((1-E25)/E25))^-1*(D27-E26)/(D90*(1-D90))+((1-2*E25)*(LN((1-E25)/E25)))^-1*(1-2*(F26-E26)/(D27-E26))*(D27-E26)*((D90-0.5)/(D90*(1-D90))+LN(D90/(1-D90))))^(-1),IF(F25="sl",((1/2)*(LN((1-E25)/E25))^-1*LN((D27-D26)/(E26-D26))/(D90*(1-D90))+((1-2*E25)*(LN((1-E25)/E25)))^-1*LN(((D27-D26)*(E26-D26))/(F26-D26)^2)*((D90-0.5)/(D90*(1-D90))+LN(D90/(1-D90))))^(-1)*EXP(-(LN(F26-D26)+(1/2)*(LN((1-E25)/E25))^-1*LN((D27-D26)/(E26-D26))*LN(D90/(1-D90))+((1-2*E25)*(LN((1-E25)/E25)))^-1*LN(((D27-D26)*(E26-D26))/(F26-D26)^2)*(D90-0.5)*LN(D90/(1-D90)))),IF(F25="su",(-(1/2)*(LN((1-E25)/E25))^-1*LN((E27-D27)/(E27-E26))/(D90*(1-D90))-((1-2*E25)*(LN((1-E25)/E25)))^-1*LN(((E27-D27)*(E27-E26))/(E27-F26)^2)*((D90-0.5)/(D90*(1-D90))+LN(D90/(1-D90))))^(-1)*EXP((-LN(E27-F26)-(1/2)*(LN((1-E25)/E25))^-1*LN((E27-D27)/(E27-E26))*LN(D90/(1-D90))-((1-2*E25)*(LN((1-E25)/E25)))^-1*LN(((E27-D27)*(E27-E26))/(E27-F26)^2)*(D90-0.5)*LN(D90/(1-D90)))),IF(F25="b",((1/2)*(LN((1-E25)/E25))^-1*LN(((D27-D26)/(E27-D27))/((E26-D26)/(E27-E26)))/(D90*(1-D90))+((1-2*E25)*(LN((1-E25)/E25)))^-1*LN((((D27-D26)/(E27-D27))*((E26-D26)/(E27-E26)))/((F26-D26)/(E27-F26))^2)*((D90-0.5)/(D90*(1-D90))+LN(D90/(1-D90))))^(-1)*(1+EXP(LN((F26-D26)/(E27-F26))+(1/2)*(LN((1-E25)/E25))^-1*LN(((D27-D26)/(E27-D27))/((E26-D26)/(E27-E26)))*LN(D90/(1-D90))+((1-2*E25)*(LN((1-E25)/E25)))^-1*LN((((D27-D26)/(E27-D27))*((E26-D26)/(E27-E26)))/((F26-D26)/(E27-F26))^2)*(D90-0.5)*LN(D90/(1-D90))))^2/((E27-D26)*EXP(LN((F26-D26)/(E27-F26))+(1/2)*(LN((1-E25)/E25))^-1*LN(((D27-D26)/(E27-D27))/((E26-D26)/(E27-E26)))*LN(D90/(1-D90))+((1-2*E25)*(LN((1-E25)/E25)))^-1*LN((((D27-D26)/(E27-D27))*((E26-D26)/(E27-E26)))/((F26-D26)/(E27-F26))^2)*(D90-0.5)*LN(D90/(1-D90)))),NA())))))</f>
        <v>2.7465307216702747E-2</v>
      </c>
      <c r="H90" s="72">
        <v>54</v>
      </c>
      <c r="I90" s="69">
        <f t="shared" si="0"/>
        <v>59.05216628593157</v>
      </c>
      <c r="J90" s="70">
        <f t="shared" si="1"/>
        <v>93</v>
      </c>
      <c r="K90" s="71">
        <f t="shared" si="2"/>
        <v>7.6561910620086965E-3</v>
      </c>
    </row>
    <row r="91" spans="4:11" x14ac:dyDescent="0.35">
      <c r="D91" s="47">
        <f>IF(F27&lt;&gt;"",NA(),(ROW()-ROW(D40))/100)</f>
        <v>0.51</v>
      </c>
      <c r="E91" s="48">
        <f>IF(F27&lt;&gt;"",NA(),IF(F25="u",F26+(1/2)*(LN((1-E25)/E25))^-1*(D27-E26)*LN(D91/(1-D91))+((1-2*E25)*(LN((1-E25)/E25)))^-1*(1-2*(F26-E26)/(D27-E26))*(D27-E26)*(D91-0.5)*LN(D91/(1-D91)),IF(F25="sl",D26+EXP(LN(F26-D26)+(1/2)*(LN((1-E25)/E25))^-1*LN((D27-D26)/(E26-D26))*LN(D91/(1-D91))+((1-2*E25)*(LN((1-E25)/E25)))^-1*LN(((D27-D26)*(E26-D26))/(F26-D26)^2)*(D91-0.5)*LN(D91/(1-D91))),IF(F25="su",E27-EXP(-(-LN(E27-F26)-(1/2)*(LN((1-E25)/E25))^-1*LN((E27-D27)/(E27-E26))*LN(D91/(1-D91))-((1-2*E25)*(LN((1-E25)/E25)))^-1*LN(((E27-D27)*(E27-E26))/(E27-F26)^2)*(D91-0.5)*LN(D91/(1-D91)))),IF(F25="b",(D26+E27*EXP(LN((F26-D26)/(E27-F26))+(1/2)*(LN((1-E25)/E25))^-1*LN(((D27-D26)/(E27-D27))/((E26-D26)/(E27-E26)))*LN(D91/(1-D91))+((1-2*E25)*(LN((1-E25)/E25)))^-1*LN((((D27-D26)/(E27-D27))*((E26-D26)/(E27-E26)))/((F26-D26)/(E27-F26))^2)*(D91-0.5)*LN(D91/(1-D91))))/(1+EXP(LN((F26-D26)/(E27-F26))+(1/2)*(LN((1-E25)/E25))^-1*LN(((D27-D26)/(E27-D27))/((E26-D26)/(E27-E26)))*LN(D91/(1-D91))+((1-2*E25)*(LN((1-E25)/E25)))^-1*LN((((D27-D26)/(E27-D27))*((E26-D26)/(E27-E26)))/((F26-D26)/(E27-F26))^2)*(D91-0.5)*LN(D91/(1-D91)))),NA())))))</f>
        <v>35.366420149949697</v>
      </c>
      <c r="F91" s="49">
        <f>IF(F27&lt;&gt;"",NA(),IF(F25="u",((1/2)*(LN((1-E25)/E25))^-1*(D27-E26)/(D91*(1-D91))+((1-2*E25)*(LN((1-E25)/E25)))^-1*(1-2*(F26-E26)/(D27-E26))*(D27-E26)*((D91-0.5)/(D91*(1-D91))+LN(D91/(1-D91))))^(-1),IF(F25="sl",((1/2)*(LN((1-E25)/E25))^-1*LN((D27-D26)/(E26-D26))/(D91*(1-D91))+((1-2*E25)*(LN((1-E25)/E25)))^-1*LN(((D27-D26)*(E26-D26))/(F26-D26)^2)*((D91-0.5)/(D91*(1-D91))+LN(D91/(1-D91))))^(-1)*EXP(-(LN(F26-D26)+(1/2)*(LN((1-E25)/E25))^-1*LN((D27-D26)/(E26-D26))*LN(D91/(1-D91))+((1-2*E25)*(LN((1-E25)/E25)))^-1*LN(((D27-D26)*(E26-D26))/(F26-D26)^2)*(D91-0.5)*LN(D91/(1-D91)))),IF(F25="su",(-(1/2)*(LN((1-E25)/E25))^-1*LN((E27-D27)/(E27-E26))/(D91*(1-D91))-((1-2*E25)*(LN((1-E25)/E25)))^-1*LN(((E27-D27)*(E27-E26))/(E27-F26)^2)*((D91-0.5)/(D91*(1-D91))+LN(D91/(1-D91))))^(-1)*EXP((-LN(E27-F26)-(1/2)*(LN((1-E25)/E25))^-1*LN((E27-D27)/(E27-E26))*LN(D91/(1-D91))-((1-2*E25)*(LN((1-E25)/E25)))^-1*LN(((E27-D27)*(E27-E26))/(E27-F26)^2)*(D91-0.5)*LN(D91/(1-D91)))),IF(F25="b",((1/2)*(LN((1-E25)/E25))^-1*LN(((D27-D26)/(E27-D27))/((E26-D26)/(E27-E26)))/(D91*(1-D91))+((1-2*E25)*(LN((1-E25)/E25)))^-1*LN((((D27-D26)/(E27-D27))*((E26-D26)/(E27-E26)))/((F26-D26)/(E27-F26))^2)*((D91-0.5)/(D91*(1-D91))+LN(D91/(1-D91))))^(-1)*(1+EXP(LN((F26-D26)/(E27-F26))+(1/2)*(LN((1-E25)/E25))^-1*LN(((D27-D26)/(E27-D27))/((E26-D26)/(E27-E26)))*LN(D91/(1-D91))+((1-2*E25)*(LN((1-E25)/E25)))^-1*LN((((D27-D26)/(E27-D27))*((E26-D26)/(E27-E26)))/((F26-D26)/(E27-F26))^2)*(D91-0.5)*LN(D91/(1-D91))))^2/((E27-D26)*EXP(LN((F26-D26)/(E27-F26))+(1/2)*(LN((1-E25)/E25))^-1*LN(((D27-D26)/(E27-D27))/((E26-D26)/(E27-E26)))*LN(D91/(1-D91))+((1-2*E25)*(LN((1-E25)/E25)))^-1*LN((((D27-D26)/(E27-D27))*((E26-D26)/(E27-E26)))/((F26-D26)/(E27-F26))^2)*(D91-0.5)*LN(D91/(1-D91)))),NA())))))</f>
        <v>2.711542349610328E-2</v>
      </c>
      <c r="H91" s="72">
        <v>55</v>
      </c>
      <c r="I91" s="69">
        <f t="shared" si="0"/>
        <v>60.322226715874656</v>
      </c>
      <c r="J91" s="70">
        <f t="shared" si="1"/>
        <v>94</v>
      </c>
      <c r="K91" s="71">
        <f t="shared" si="2"/>
        <v>7.0537729122704803E-3</v>
      </c>
    </row>
    <row r="92" spans="4:11" x14ac:dyDescent="0.35">
      <c r="D92" s="47">
        <f>IF(F27&lt;&gt;"",NA(),(ROW()-ROW(D40))/100)</f>
        <v>0.52</v>
      </c>
      <c r="E92" s="48">
        <f>IF(F27&lt;&gt;"",NA(),IF(F25="u",F26+(1/2)*(LN((1-E25)/E25))^-1*(D27-E26)*LN(D92/(1-D92))+((1-2*E25)*(LN((1-E25)/E25)))^-1*(1-2*(F26-E26)/(D27-E26))*(D27-E26)*(D92-0.5)*LN(D92/(1-D92)),IF(F25="sl",D26+EXP(LN(F26-D26)+(1/2)*(LN((1-E25)/E25))^-1*LN((D27-D26)/(E26-D26))*LN(D92/(1-D92))+((1-2*E25)*(LN((1-E25)/E25)))^-1*LN(((D27-D26)*(E26-D26))/(F26-D26)^2)*(D92-0.5)*LN(D92/(1-D92))),IF(F25="su",E27-EXP(-(-LN(E27-F26)-(1/2)*(LN((1-E25)/E25))^-1*LN((E27-D27)/(E27-E26))*LN(D92/(1-D92))-((1-2*E25)*(LN((1-E25)/E25)))^-1*LN(((E27-D27)*(E27-E26))/(E27-F26)^2)*(D92-0.5)*LN(D92/(1-D92)))),IF(F25="b",(D26+E27*EXP(LN((F26-D26)/(E27-F26))+(1/2)*(LN((1-E25)/E25))^-1*LN(((D27-D26)/(E27-D27))/((E26-D26)/(E27-E26)))*LN(D92/(1-D92))+((1-2*E25)*(LN((1-E25)/E25)))^-1*LN((((D27-D26)/(E27-D27))*((E26-D26)/(E27-E26)))/((F26-D26)/(E27-F26))^2)*(D92-0.5)*LN(D92/(1-D92))))/(1+EXP(LN((F26-D26)/(E27-F26))+(1/2)*(LN((1-E25)/E25))^-1*LN(((D27-D26)/(E27-D27))/((E26-D26)/(E27-E26)))*LN(D92/(1-D92))+((1-2*E25)*(LN((1-E25)/E25)))^-1*LN((((D27-D26)/(E27-D27))*((E26-D26)/(E27-E26)))/((F26-D26)/(E27-F26))^2)*(D92-0.5)*LN(D92/(1-D92)))),NA())))))</f>
        <v>35.737687374840014</v>
      </c>
      <c r="F92" s="49">
        <f>IF(F27&lt;&gt;"",NA(),IF(F25="u",((1/2)*(LN((1-E25)/E25))^-1*(D27-E26)/(D92*(1-D92))+((1-2*E25)*(LN((1-E25)/E25)))^-1*(1-2*(F26-E26)/(D27-E26))*(D27-E26)*((D92-0.5)/(D92*(1-D92))+LN(D92/(1-D92))))^(-1),IF(F25="sl",((1/2)*(LN((1-E25)/E25))^-1*LN((D27-D26)/(E26-D26))/(D92*(1-D92))+((1-2*E25)*(LN((1-E25)/E25)))^-1*LN(((D27-D26)*(E26-D26))/(F26-D26)^2)*((D92-0.5)/(D92*(1-D92))+LN(D92/(1-D92))))^(-1)*EXP(-(LN(F26-D26)+(1/2)*(LN((1-E25)/E25))^-1*LN((D27-D26)/(E26-D26))*LN(D92/(1-D92))+((1-2*E25)*(LN((1-E25)/E25)))^-1*LN(((D27-D26)*(E26-D26))/(F26-D26)^2)*(D92-0.5)*LN(D92/(1-D92)))),IF(F25="su",(-(1/2)*(LN((1-E25)/E25))^-1*LN((E27-D27)/(E27-E26))/(D92*(1-D92))-((1-2*E25)*(LN((1-E25)/E25)))^-1*LN(((E27-D27)*(E27-E26))/(E27-F26)^2)*((D92-0.5)/(D92*(1-D92))+LN(D92/(1-D92))))^(-1)*EXP((-LN(E27-F26)-(1/2)*(LN((1-E25)/E25))^-1*LN((E27-D27)/(E27-E26))*LN(D92/(1-D92))-((1-2*E25)*(LN((1-E25)/E25)))^-1*LN(((E27-D27)*(E27-E26))/(E27-F26)^2)*(D92-0.5)*LN(D92/(1-D92)))),IF(F25="b",((1/2)*(LN((1-E25)/E25))^-1*LN(((D27-D26)/(E27-D27))/((E26-D26)/(E27-E26)))/(D92*(1-D92))+((1-2*E25)*(LN((1-E25)/E25)))^-1*LN((((D27-D26)/(E27-D27))*((E26-D26)/(E27-E26)))/((F26-D26)/(E27-F26))^2)*((D92-0.5)/(D92*(1-D92))+LN(D92/(1-D92))))^(-1)*(1+EXP(LN((F26-D26)/(E27-F26))+(1/2)*(LN((1-E25)/E25))^-1*LN(((D27-D26)/(E27-D27))/((E26-D26)/(E27-E26)))*LN(D92/(1-D92))+((1-2*E25)*(LN((1-E25)/E25)))^-1*LN((((D27-D26)/(E27-D27))*((E26-D26)/(E27-E26)))/((F26-D26)/(E27-F26))^2)*(D92-0.5)*LN(D92/(1-D92))))^2/((E27-D26)*EXP(LN((F26-D26)/(E27-F26))+(1/2)*(LN((1-E25)/E25))^-1*LN(((D27-D26)/(E27-D27))/((E26-D26)/(E27-E26)))*LN(D92/(1-D92))+((1-2*E25)*(LN((1-E25)/E25)))^-1*LN((((D27-D26)/(E27-D27))*((E26-D26)/(E27-E26)))/((F26-D26)/(E27-F26))^2)*(D92-0.5)*LN(D92/(1-D92)))),NA())))))</f>
        <v>2.6752897116756044E-2</v>
      </c>
      <c r="H92" s="72">
        <v>56</v>
      </c>
      <c r="I92" s="69">
        <f t="shared" si="0"/>
        <v>61.592287145817743</v>
      </c>
      <c r="J92" s="70">
        <f t="shared" si="1"/>
        <v>95</v>
      </c>
      <c r="K92" s="71">
        <f t="shared" si="2"/>
        <v>6.4891335649156015E-3</v>
      </c>
    </row>
    <row r="93" spans="4:11" x14ac:dyDescent="0.35">
      <c r="D93" s="47">
        <f>IF(F27&lt;&gt;"",NA(),(ROW()-ROW(D40))/100)</f>
        <v>0.53</v>
      </c>
      <c r="E93" s="48">
        <f>IF(F27&lt;&gt;"",NA(),IF(F25="u",F26+(1/2)*(LN((1-E25)/E25))^-1*(D27-E26)*LN(D93/(1-D93))+((1-2*E25)*(LN((1-E25)/E25)))^-1*(1-2*(F26-E26)/(D27-E26))*(D27-E26)*(D93-0.5)*LN(D93/(1-D93)),IF(F25="sl",D26+EXP(LN(F26-D26)+(1/2)*(LN((1-E25)/E25))^-1*LN((D27-D26)/(E26-D26))*LN(D93/(1-D93))+((1-2*E25)*(LN((1-E25)/E25)))^-1*LN(((D27-D26)*(E26-D26))/(F26-D26)^2)*(D93-0.5)*LN(D93/(1-D93))),IF(F25="su",E27-EXP(-(-LN(E27-F26)-(1/2)*(LN((1-E25)/E25))^-1*LN((E27-D27)/(E27-E26))*LN(D93/(1-D93))-((1-2*E25)*(LN((1-E25)/E25)))^-1*LN(((E27-D27)*(E27-E26))/(E27-F26)^2)*(D93-0.5)*LN(D93/(1-D93)))),IF(F25="b",(D26+E27*EXP(LN((F26-D26)/(E27-F26))+(1/2)*(LN((1-E25)/E25))^-1*LN(((D27-D26)/(E27-D27))/((E26-D26)/(E27-E26)))*LN(D93/(1-D93))+((1-2*E25)*(LN((1-E25)/E25)))^-1*LN((((D27-D26)/(E27-D27))*((E26-D26)/(E27-E26)))/((F26-D26)/(E27-F26))^2)*(D93-0.5)*LN(D93/(1-D93))))/(1+EXP(LN((F26-D26)/(E27-F26))+(1/2)*(LN((1-E25)/E25))^-1*LN(((D27-D26)/(E27-D27))/((E26-D26)/(E27-E26)))*LN(D93/(1-D93))+((1-2*E25)*(LN((1-E25)/E25)))^-1*LN((((D27-D26)/(E27-D27))*((E26-D26)/(E27-E26)))/((F26-D26)/(E27-F26))^2)*(D93-0.5)*LN(D93/(1-D93)))),NA())))))</f>
        <v>36.114105667227591</v>
      </c>
      <c r="F93" s="49">
        <f>IF(F27&lt;&gt;"",NA(),IF(F25="u",((1/2)*(LN((1-E25)/E25))^-1*(D27-E26)/(D93*(1-D93))+((1-2*E25)*(LN((1-E25)/E25)))^-1*(1-2*(F26-E26)/(D27-E26))*(D27-E26)*((D93-0.5)/(D93*(1-D93))+LN(D93/(1-D93))))^(-1),IF(F25="sl",((1/2)*(LN((1-E25)/E25))^-1*LN((D27-D26)/(E26-D26))/(D93*(1-D93))+((1-2*E25)*(LN((1-E25)/E25)))^-1*LN(((D27-D26)*(E26-D26))/(F26-D26)^2)*((D93-0.5)/(D93*(1-D93))+LN(D93/(1-D93))))^(-1)*EXP(-(LN(F26-D26)+(1/2)*(LN((1-E25)/E25))^-1*LN((D27-D26)/(E26-D26))*LN(D93/(1-D93))+((1-2*E25)*(LN((1-E25)/E25)))^-1*LN(((D27-D26)*(E26-D26))/(F26-D26)^2)*(D93-0.5)*LN(D93/(1-D93)))),IF(F25="su",(-(1/2)*(LN((1-E25)/E25))^-1*LN((E27-D27)/(E27-E26))/(D93*(1-D93))-((1-2*E25)*(LN((1-E25)/E25)))^-1*LN(((E27-D27)*(E27-E26))/(E27-F26)^2)*((D93-0.5)/(D93*(1-D93))+LN(D93/(1-D93))))^(-1)*EXP((-LN(E27-F26)-(1/2)*(LN((1-E25)/E25))^-1*LN((E27-D27)/(E27-E26))*LN(D93/(1-D93))-((1-2*E25)*(LN((1-E25)/E25)))^-1*LN(((E27-D27)*(E27-E26))/(E27-F26)^2)*(D93-0.5)*LN(D93/(1-D93)))),IF(F25="b",((1/2)*(LN((1-E25)/E25))^-1*LN(((D27-D26)/(E27-D27))/((E26-D26)/(E27-E26)))/(D93*(1-D93))+((1-2*E25)*(LN((1-E25)/E25)))^-1*LN((((D27-D26)/(E27-D27))*((E26-D26)/(E27-E26)))/((F26-D26)/(E27-F26))^2)*((D93-0.5)/(D93*(1-D93))+LN(D93/(1-D93))))^(-1)*(1+EXP(LN((F26-D26)/(E27-F26))+(1/2)*(LN((1-E25)/E25))^-1*LN(((D27-D26)/(E27-D27))/((E26-D26)/(E27-E26)))*LN(D93/(1-D93))+((1-2*E25)*(LN((1-E25)/E25)))^-1*LN((((D27-D26)/(E27-D27))*((E26-D26)/(E27-E26)))/((F26-D26)/(E27-F26))^2)*(D93-0.5)*LN(D93/(1-D93))))^2/((E27-D26)*EXP(LN((F26-D26)/(E27-F26))+(1/2)*(LN((1-E25)/E25))^-1*LN(((D27-D26)/(E27-D27))/((E26-D26)/(E27-E26)))*LN(D93/(1-D93))+((1-2*E25)*(LN((1-E25)/E25)))^-1*LN((((D27-D26)/(E27-D27))*((E26-D26)/(E27-E26)))/((F26-D26)/(E27-F26))^2)*(D93-0.5)*LN(D93/(1-D93)))),NA())))))</f>
        <v>2.6378428911813013E-2</v>
      </c>
      <c r="H93" s="72">
        <v>57</v>
      </c>
      <c r="I93" s="69">
        <f t="shared" si="0"/>
        <v>62.862347575760829</v>
      </c>
      <c r="J93" s="70">
        <f t="shared" si="1"/>
        <v>95</v>
      </c>
      <c r="K93" s="71">
        <f t="shared" si="2"/>
        <v>5.9655460867568833E-3</v>
      </c>
    </row>
    <row r="94" spans="4:11" x14ac:dyDescent="0.35">
      <c r="D94" s="47">
        <f>IF(F27&lt;&gt;"",NA(),(ROW()-ROW(D40))/100)</f>
        <v>0.54</v>
      </c>
      <c r="E94" s="48">
        <f>IF(F27&lt;&gt;"",NA(),IF(F25="u",F26+(1/2)*(LN((1-E25)/E25))^-1*(D27-E26)*LN(D94/(1-D94))+((1-2*E25)*(LN((1-E25)/E25)))^-1*(1-2*(F26-E26)/(D27-E26))*(D27-E26)*(D94-0.5)*LN(D94/(1-D94)),IF(F25="sl",D26+EXP(LN(F26-D26)+(1/2)*(LN((1-E25)/E25))^-1*LN((D27-D26)/(E26-D26))*LN(D94/(1-D94))+((1-2*E25)*(LN((1-E25)/E25)))^-1*LN(((D27-D26)*(E26-D26))/(F26-D26)^2)*(D94-0.5)*LN(D94/(1-D94))),IF(F25="su",E27-EXP(-(-LN(E27-F26)-(1/2)*(LN((1-E25)/E25))^-1*LN((E27-D27)/(E27-E26))*LN(D94/(1-D94))-((1-2*E25)*(LN((1-E25)/E25)))^-1*LN(((E27-D27)*(E27-E26))/(E27-F26)^2)*(D94-0.5)*LN(D94/(1-D94)))),IF(F25="b",(D26+E27*EXP(LN((F26-D26)/(E27-F26))+(1/2)*(LN((1-E25)/E25))^-1*LN(((D27-D26)/(E27-D27))/((E26-D26)/(E27-E26)))*LN(D94/(1-D94))+((1-2*E25)*(LN((1-E25)/E25)))^-1*LN((((D27-D26)/(E27-D27))*((E26-D26)/(E27-E26)))/((F26-D26)/(E27-F26))^2)*(D94-0.5)*LN(D94/(1-D94))))/(1+EXP(LN((F26-D26)/(E27-F26))+(1/2)*(LN((1-E25)/E25))^-1*LN(((D27-D26)/(E27-D27))/((E26-D26)/(E27-E26)))*LN(D94/(1-D94))+((1-2*E25)*(LN((1-E25)/E25)))^-1*LN((((D27-D26)/(E27-D27))*((E26-D26)/(E27-E26)))/((F26-D26)/(E27-F26))^2)*(D94-0.5)*LN(D94/(1-D94)))),NA())))))</f>
        <v>36.495989240447223</v>
      </c>
      <c r="F94" s="49">
        <f>IF(F27&lt;&gt;"",NA(),IF(F25="u",((1/2)*(LN((1-E25)/E25))^-1*(D27-E26)/(D94*(1-D94))+((1-2*E25)*(LN((1-E25)/E25)))^-1*(1-2*(F26-E26)/(D27-E26))*(D27-E26)*((D94-0.5)/(D94*(1-D94))+LN(D94/(1-D94))))^(-1),IF(F25="sl",((1/2)*(LN((1-E25)/E25))^-1*LN((D27-D26)/(E26-D26))/(D94*(1-D94))+((1-2*E25)*(LN((1-E25)/E25)))^-1*LN(((D27-D26)*(E26-D26))/(F26-D26)^2)*((D94-0.5)/(D94*(1-D94))+LN(D94/(1-D94))))^(-1)*EXP(-(LN(F26-D26)+(1/2)*(LN((1-E25)/E25))^-1*LN((D27-D26)/(E26-D26))*LN(D94/(1-D94))+((1-2*E25)*(LN((1-E25)/E25)))^-1*LN(((D27-D26)*(E26-D26))/(F26-D26)^2)*(D94-0.5)*LN(D94/(1-D94)))),IF(F25="su",(-(1/2)*(LN((1-E25)/E25))^-1*LN((E27-D27)/(E27-E26))/(D94*(1-D94))-((1-2*E25)*(LN((1-E25)/E25)))^-1*LN(((E27-D27)*(E27-E26))/(E27-F26)^2)*((D94-0.5)/(D94*(1-D94))+LN(D94/(1-D94))))^(-1)*EXP((-LN(E27-F26)-(1/2)*(LN((1-E25)/E25))^-1*LN((E27-D27)/(E27-E26))*LN(D94/(1-D94))-((1-2*E25)*(LN((1-E25)/E25)))^-1*LN(((E27-D27)*(E27-E26))/(E27-F26)^2)*(D94-0.5)*LN(D94/(1-D94)))),IF(F25="b",((1/2)*(LN((1-E25)/E25))^-1*LN(((D27-D26)/(E27-D27))/((E26-D26)/(E27-E26)))/(D94*(1-D94))+((1-2*E25)*(LN((1-E25)/E25)))^-1*LN((((D27-D26)/(E27-D27))*((E26-D26)/(E27-E26)))/((F26-D26)/(E27-F26))^2)*((D94-0.5)/(D94*(1-D94))+LN(D94/(1-D94))))^(-1)*(1+EXP(LN((F26-D26)/(E27-F26))+(1/2)*(LN((1-E25)/E25))^-1*LN(((D27-D26)/(E27-D27))/((E26-D26)/(E27-E26)))*LN(D94/(1-D94))+((1-2*E25)*(LN((1-E25)/E25)))^-1*LN((((D27-D26)/(E27-D27))*((E26-D26)/(E27-E26)))/((F26-D26)/(E27-F26))^2)*(D94-0.5)*LN(D94/(1-D94))))^2/((E27-D26)*EXP(LN((F26-D26)/(E27-F26))+(1/2)*(LN((1-E25)/E25))^-1*LN(((D27-D26)/(E27-D27))/((E26-D26)/(E27-E26)))*LN(D94/(1-D94))+((1-2*E25)*(LN((1-E25)/E25)))^-1*LN((((D27-D26)/(E27-D27))*((E26-D26)/(E27-E26)))/((F26-D26)/(E27-F26))^2)*(D94-0.5)*LN(D94/(1-D94)))),NA())))))</f>
        <v>2.5992671772196625E-2</v>
      </c>
      <c r="H94" s="72">
        <v>58</v>
      </c>
      <c r="I94" s="69">
        <f t="shared" si="0"/>
        <v>64.132408005703908</v>
      </c>
      <c r="J94" s="70">
        <f t="shared" si="1"/>
        <v>96</v>
      </c>
      <c r="K94" s="71">
        <f t="shared" si="2"/>
        <v>5.4823750179699617E-3</v>
      </c>
    </row>
    <row r="95" spans="4:11" x14ac:dyDescent="0.35">
      <c r="D95" s="47">
        <f>IF(F27&lt;&gt;"",NA(),(ROW()-ROW(D40))/100)</f>
        <v>0.55000000000000004</v>
      </c>
      <c r="E95" s="48">
        <f>IF(F27&lt;&gt;"",NA(),IF(F25="u",F26+(1/2)*(LN((1-E25)/E25))^-1*(D27-E26)*LN(D95/(1-D95))+((1-2*E25)*(LN((1-E25)/E25)))^-1*(1-2*(F26-E26)/(D27-E26))*(D27-E26)*(D95-0.5)*LN(D95/(1-D95)),IF(F25="sl",D26+EXP(LN(F26-D26)+(1/2)*(LN((1-E25)/E25))^-1*LN((D27-D26)/(E26-D26))*LN(D95/(1-D95))+((1-2*E25)*(LN((1-E25)/E25)))^-1*LN(((D27-D26)*(E26-D26))/(F26-D26)^2)*(D95-0.5)*LN(D95/(1-D95))),IF(F25="su",E27-EXP(-(-LN(E27-F26)-(1/2)*(LN((1-E25)/E25))^-1*LN((E27-D27)/(E27-E26))*LN(D95/(1-D95))-((1-2*E25)*(LN((1-E25)/E25)))^-1*LN(((E27-D27)*(E27-E26))/(E27-F26)^2)*(D95-0.5)*LN(D95/(1-D95)))),IF(F25="b",(D26+E27*EXP(LN((F26-D26)/(E27-F26))+(1/2)*(LN((1-E25)/E25))^-1*LN(((D27-D26)/(E27-D27))/((E26-D26)/(E27-E26)))*LN(D95/(1-D95))+((1-2*E25)*(LN((1-E25)/E25)))^-1*LN((((D27-D26)/(E27-D27))*((E26-D26)/(E27-E26)))/((F26-D26)/(E27-F26))^2)*(D95-0.5)*LN(D95/(1-D95))))/(1+EXP(LN((F26-D26)/(E27-F26))+(1/2)*(LN((1-E25)/E25))^-1*LN(((D27-D26)/(E27-D27))/((E26-D26)/(E27-E26)))*LN(D95/(1-D95))+((1-2*E25)*(LN((1-E25)/E25)))^-1*LN((((D27-D26)/(E27-D27))*((E26-D26)/(E27-E26)))/((F26-D26)/(E27-F26))^2)*(D95-0.5)*LN(D95/(1-D95)))),NA())))))</f>
        <v>36.883664117267678</v>
      </c>
      <c r="F95" s="49">
        <f>IF(F27&lt;&gt;"",NA(),IF(F25="u",((1/2)*(LN((1-E25)/E25))^-1*(D27-E26)/(D95*(1-D95))+((1-2*E25)*(LN((1-E25)/E25)))^-1*(1-2*(F26-E26)/(D27-E26))*(D27-E26)*((D95-0.5)/(D95*(1-D95))+LN(D95/(1-D95))))^(-1),IF(F25="sl",((1/2)*(LN((1-E25)/E25))^-1*LN((D27-D26)/(E26-D26))/(D95*(1-D95))+((1-2*E25)*(LN((1-E25)/E25)))^-1*LN(((D27-D26)*(E26-D26))/(F26-D26)^2)*((D95-0.5)/(D95*(1-D95))+LN(D95/(1-D95))))^(-1)*EXP(-(LN(F26-D26)+(1/2)*(LN((1-E25)/E25))^-1*LN((D27-D26)/(E26-D26))*LN(D95/(1-D95))+((1-2*E25)*(LN((1-E25)/E25)))^-1*LN(((D27-D26)*(E26-D26))/(F26-D26)^2)*(D95-0.5)*LN(D95/(1-D95)))),IF(F25="su",(-(1/2)*(LN((1-E25)/E25))^-1*LN((E27-D27)/(E27-E26))/(D95*(1-D95))-((1-2*E25)*(LN((1-E25)/E25)))^-1*LN(((E27-D27)*(E27-E26))/(E27-F26)^2)*((D95-0.5)/(D95*(1-D95))+LN(D95/(1-D95))))^(-1)*EXP((-LN(E27-F26)-(1/2)*(LN((1-E25)/E25))^-1*LN((E27-D27)/(E27-E26))*LN(D95/(1-D95))-((1-2*E25)*(LN((1-E25)/E25)))^-1*LN(((E27-D27)*(E27-E26))/(E27-F26)^2)*(D95-0.5)*LN(D95/(1-D95)))),IF(F25="b",((1/2)*(LN((1-E25)/E25))^-1*LN(((D27-D26)/(E27-D27))/((E26-D26)/(E27-E26)))/(D95*(1-D95))+((1-2*E25)*(LN((1-E25)/E25)))^-1*LN((((D27-D26)/(E27-D27))*((E26-D26)/(E27-E26)))/((F26-D26)/(E27-F26))^2)*((D95-0.5)/(D95*(1-D95))+LN(D95/(1-D95))))^(-1)*(1+EXP(LN((F26-D26)/(E27-F26))+(1/2)*(LN((1-E25)/E25))^-1*LN(((D27-D26)/(E27-D27))/((E26-D26)/(E27-E26)))*LN(D95/(1-D95))+((1-2*E25)*(LN((1-E25)/E25)))^-1*LN((((D27-D26)/(E27-D27))*((E26-D26)/(E27-E26)))/((F26-D26)/(E27-F26))^2)*(D95-0.5)*LN(D95/(1-D95))))^2/((E27-D26)*EXP(LN((F26-D26)/(E27-F26))+(1/2)*(LN((1-E25)/E25))^-1*LN(((D27-D26)/(E27-D27))/((E26-D26)/(E27-E26)))*LN(D95/(1-D95))+((1-2*E25)*(LN((1-E25)/E25)))^-1*LN((((D27-D26)/(E27-D27))*((E26-D26)/(E27-E26)))/((F26-D26)/(E27-F26))^2)*(D95-0.5)*LN(D95/(1-D95)))),NA())))))</f>
        <v>2.5596232850923731E-2</v>
      </c>
      <c r="H95" s="72">
        <v>59</v>
      </c>
      <c r="I95" s="69">
        <f t="shared" si="0"/>
        <v>65.402468435646995</v>
      </c>
      <c r="J95" s="70">
        <f t="shared" si="1"/>
        <v>97</v>
      </c>
      <c r="K95" s="71">
        <f t="shared" si="2"/>
        <v>5.0280872203875785E-3</v>
      </c>
    </row>
    <row r="96" spans="4:11" x14ac:dyDescent="0.35">
      <c r="D96" s="47">
        <f>IF(F27&lt;&gt;"",NA(),(ROW()-ROW(D40))/100)</f>
        <v>0.56000000000000005</v>
      </c>
      <c r="E96" s="48">
        <f>IF(F27&lt;&gt;"",NA(),IF(F25="u",F26+(1/2)*(LN((1-E25)/E25))^-1*(D27-E26)*LN(D96/(1-D96))+((1-2*E25)*(LN((1-E25)/E25)))^-1*(1-2*(F26-E26)/(D27-E26))*(D27-E26)*(D96-0.5)*LN(D96/(1-D96)),IF(F25="sl",D26+EXP(LN(F26-D26)+(1/2)*(LN((1-E25)/E25))^-1*LN((D27-D26)/(E26-D26))*LN(D96/(1-D96))+((1-2*E25)*(LN((1-E25)/E25)))^-1*LN(((D27-D26)*(E26-D26))/(F26-D26)^2)*(D96-0.5)*LN(D96/(1-D96))),IF(F25="su",E27-EXP(-(-LN(E27-F26)-(1/2)*(LN((1-E25)/E25))^-1*LN((E27-D27)/(E27-E26))*LN(D96/(1-D96))-((1-2*E25)*(LN((1-E25)/E25)))^-1*LN(((E27-D27)*(E27-E26))/(E27-F26)^2)*(D96-0.5)*LN(D96/(1-D96)))),IF(F25="b",(D26+E27*EXP(LN((F26-D26)/(E27-F26))+(1/2)*(LN((1-E25)/E25))^-1*LN(((D27-D26)/(E27-D27))/((E26-D26)/(E27-E26)))*LN(D96/(1-D96))+((1-2*E25)*(LN((1-E25)/E25)))^-1*LN((((D27-D26)/(E27-D27))*((E26-D26)/(E27-E26)))/((F26-D26)/(E27-F26))^2)*(D96-0.5)*LN(D96/(1-D96))))/(1+EXP(LN((F26-D26)/(E27-F26))+(1/2)*(LN((1-E25)/E25))^-1*LN(((D27-D26)/(E27-D27))/((E26-D26)/(E27-E26)))*LN(D96/(1-D96))+((1-2*E25)*(LN((1-E25)/E25)))^-1*LN((((D27-D26)/(E27-D27))*((E26-D26)/(E27-E26)))/((F26-D26)/(E27-F26))^2)*(D96-0.5)*LN(D96/(1-D96)))),NA())))))</f>
        <v>37.277469827420695</v>
      </c>
      <c r="F96" s="49">
        <f>IF(F27&lt;&gt;"",NA(),IF(F25="u",((1/2)*(LN((1-E25)/E25))^-1*(D27-E26)/(D96*(1-D96))+((1-2*E25)*(LN((1-E25)/E25)))^-1*(1-2*(F26-E26)/(D27-E26))*(D27-E26)*((D96-0.5)/(D96*(1-D96))+LN(D96/(1-D96))))^(-1),IF(F25="sl",((1/2)*(LN((1-E25)/E25))^-1*LN((D27-D26)/(E26-D26))/(D96*(1-D96))+((1-2*E25)*(LN((1-E25)/E25)))^-1*LN(((D27-D26)*(E26-D26))/(F26-D26)^2)*((D96-0.5)/(D96*(1-D96))+LN(D96/(1-D96))))^(-1)*EXP(-(LN(F26-D26)+(1/2)*(LN((1-E25)/E25))^-1*LN((D27-D26)/(E26-D26))*LN(D96/(1-D96))+((1-2*E25)*(LN((1-E25)/E25)))^-1*LN(((D27-D26)*(E26-D26))/(F26-D26)^2)*(D96-0.5)*LN(D96/(1-D96)))),IF(F25="su",(-(1/2)*(LN((1-E25)/E25))^-1*LN((E27-D27)/(E27-E26))/(D96*(1-D96))-((1-2*E25)*(LN((1-E25)/E25)))^-1*LN(((E27-D27)*(E27-E26))/(E27-F26)^2)*((D96-0.5)/(D96*(1-D96))+LN(D96/(1-D96))))^(-1)*EXP((-LN(E27-F26)-(1/2)*(LN((1-E25)/E25))^-1*LN((E27-D27)/(E27-E26))*LN(D96/(1-D96))-((1-2*E25)*(LN((1-E25)/E25)))^-1*LN(((E27-D27)*(E27-E26))/(E27-F26)^2)*(D96-0.5)*LN(D96/(1-D96)))),IF(F25="b",((1/2)*(LN((1-E25)/E25))^-1*LN(((D27-D26)/(E27-D27))/((E26-D26)/(E27-E26)))/(D96*(1-D96))+((1-2*E25)*(LN((1-E25)/E25)))^-1*LN((((D27-D26)/(E27-D27))*((E26-D26)/(E27-E26)))/((F26-D26)/(E27-F26))^2)*((D96-0.5)/(D96*(1-D96))+LN(D96/(1-D96))))^(-1)*(1+EXP(LN((F26-D26)/(E27-F26))+(1/2)*(LN((1-E25)/E25))^-1*LN(((D27-D26)/(E27-D27))/((E26-D26)/(E27-E26)))*LN(D96/(1-D96))+((1-2*E25)*(LN((1-E25)/E25)))^-1*LN((((D27-D26)/(E27-D27))*((E26-D26)/(E27-E26)))/((F26-D26)/(E27-F26))^2)*(D96-0.5)*LN(D96/(1-D96))))^2/((E27-D26)*EXP(LN((F26-D26)/(E27-F26))+(1/2)*(LN((1-E25)/E25))^-1*LN(((D27-D26)/(E27-D27))/((E26-D26)/(E27-E26)))*LN(D96/(1-D96))+((1-2*E25)*(LN((1-E25)/E25)))^-1*LN((((D27-D26)/(E27-D27))*((E26-D26)/(E27-E26)))/((F26-D26)/(E27-F26))^2)*(D96-0.5)*LN(D96/(1-D96)))),NA())))))</f>
        <v>2.5189675679219453E-2</v>
      </c>
      <c r="H96" s="72">
        <v>60</v>
      </c>
      <c r="I96" s="69">
        <f t="shared" si="0"/>
        <v>66.672528865590081</v>
      </c>
      <c r="J96" s="70">
        <f t="shared" si="1"/>
        <v>97</v>
      </c>
      <c r="K96" s="71">
        <f t="shared" si="2"/>
        <v>4.6033279994246818E-3</v>
      </c>
    </row>
    <row r="97" spans="4:11" x14ac:dyDescent="0.35">
      <c r="D97" s="47">
        <f>IF(F27&lt;&gt;"",NA(),(ROW()-ROW(D40))/100)</f>
        <v>0.56999999999999995</v>
      </c>
      <c r="E97" s="48">
        <f>IF(F27&lt;&gt;"",NA(),IF(F25="u",F26+(1/2)*(LN((1-E25)/E25))^-1*(D27-E26)*LN(D97/(1-D97))+((1-2*E25)*(LN((1-E25)/E25)))^-1*(1-2*(F26-E26)/(D27-E26))*(D27-E26)*(D97-0.5)*LN(D97/(1-D97)),IF(F25="sl",D26+EXP(LN(F26-D26)+(1/2)*(LN((1-E25)/E25))^-1*LN((D27-D26)/(E26-D26))*LN(D97/(1-D97))+((1-2*E25)*(LN((1-E25)/E25)))^-1*LN(((D27-D26)*(E26-D26))/(F26-D26)^2)*(D97-0.5)*LN(D97/(1-D97))),IF(F25="su",E27-EXP(-(-LN(E27-F26)-(1/2)*(LN((1-E25)/E25))^-1*LN((E27-D27)/(E27-E26))*LN(D97/(1-D97))-((1-2*E25)*(LN((1-E25)/E25)))^-1*LN(((E27-D27)*(E27-E26))/(E27-F26)^2)*(D97-0.5)*LN(D97/(1-D97)))),IF(F25="b",(D26+E27*EXP(LN((F26-D26)/(E27-F26))+(1/2)*(LN((1-E25)/E25))^-1*LN(((D27-D26)/(E27-D27))/((E26-D26)/(E27-E26)))*LN(D97/(1-D97))+((1-2*E25)*(LN((1-E25)/E25)))^-1*LN((((D27-D26)/(E27-D27))*((E26-D26)/(E27-E26)))/((F26-D26)/(E27-F26))^2)*(D97-0.5)*LN(D97/(1-D97))))/(1+EXP(LN((F26-D26)/(E27-F26))+(1/2)*(LN((1-E25)/E25))^-1*LN(((D27-D26)/(E27-D27))/((E26-D26)/(E27-E26)))*LN(D97/(1-D97))+((1-2*E25)*(LN((1-E25)/E25)))^-1*LN((((D27-D26)/(E27-D27))*((E26-D26)/(E27-E26)))/((F26-D26)/(E27-F26))^2)*(D97-0.5)*LN(D97/(1-D97)))),NA())))))</f>
        <v>37.677761236439508</v>
      </c>
      <c r="F97" s="49">
        <f>IF(F27&lt;&gt;"",NA(),IF(F25="u",((1/2)*(LN((1-E25)/E25))^-1*(D27-E26)/(D97*(1-D97))+((1-2*E25)*(LN((1-E25)/E25)))^-1*(1-2*(F26-E26)/(D27-E26))*(D27-E26)*((D97-0.5)/(D97*(1-D97))+LN(D97/(1-D97))))^(-1),IF(F25="sl",((1/2)*(LN((1-E25)/E25))^-1*LN((D27-D26)/(E26-D26))/(D97*(1-D97))+((1-2*E25)*(LN((1-E25)/E25)))^-1*LN(((D27-D26)*(E26-D26))/(F26-D26)^2)*((D97-0.5)/(D97*(1-D97))+LN(D97/(1-D97))))^(-1)*EXP(-(LN(F26-D26)+(1/2)*(LN((1-E25)/E25))^-1*LN((D27-D26)/(E26-D26))*LN(D97/(1-D97))+((1-2*E25)*(LN((1-E25)/E25)))^-1*LN(((D27-D26)*(E26-D26))/(F26-D26)^2)*(D97-0.5)*LN(D97/(1-D97)))),IF(F25="su",(-(1/2)*(LN((1-E25)/E25))^-1*LN((E27-D27)/(E27-E26))/(D97*(1-D97))-((1-2*E25)*(LN((1-E25)/E25)))^-1*LN(((E27-D27)*(E27-E26))/(E27-F26)^2)*((D97-0.5)/(D97*(1-D97))+LN(D97/(1-D97))))^(-1)*EXP((-LN(E27-F26)-(1/2)*(LN((1-E25)/E25))^-1*LN((E27-D27)/(E27-E26))*LN(D97/(1-D97))-((1-2*E25)*(LN((1-E25)/E25)))^-1*LN(((E27-D27)*(E27-E26))/(E27-F26)^2)*(D97-0.5)*LN(D97/(1-D97)))),IF(F25="b",((1/2)*(LN((1-E25)/E25))^-1*LN(((D27-D26)/(E27-D27))/((E26-D26)/(E27-E26)))/(D97*(1-D97))+((1-2*E25)*(LN((1-E25)/E25)))^-1*LN((((D27-D26)/(E27-D27))*((E26-D26)/(E27-E26)))/((F26-D26)/(E27-F26))^2)*((D97-0.5)/(D97*(1-D97))+LN(D97/(1-D97))))^(-1)*(1+EXP(LN((F26-D26)/(E27-F26))+(1/2)*(LN((1-E25)/E25))^-1*LN(((D27-D26)/(E27-D27))/((E26-D26)/(E27-E26)))*LN(D97/(1-D97))+((1-2*E25)*(LN((1-E25)/E25)))^-1*LN((((D27-D26)/(E27-D27))*((E26-D26)/(E27-E26)))/((F26-D26)/(E27-F26))^2)*(D97-0.5)*LN(D97/(1-D97))))^2/((E27-D26)*EXP(LN((F26-D26)/(E27-F26))+(1/2)*(LN((1-E25)/E25))^-1*LN(((D27-D26)/(E27-D27))/((E26-D26)/(E27-E26)))*LN(D97/(1-D97))+((1-2*E25)*(LN((1-E25)/E25)))^-1*LN((((D27-D26)/(E27-D27))*((E26-D26)/(E27-E26)))/((F26-D26)/(E27-F26))^2)*(D97-0.5)*LN(D97/(1-D97)))),NA())))))</f>
        <v>2.4773522187947289E-2</v>
      </c>
      <c r="H97" s="72">
        <v>61</v>
      </c>
      <c r="I97" s="69">
        <f t="shared" si="0"/>
        <v>67.942589295533168</v>
      </c>
      <c r="J97" s="70">
        <f t="shared" si="1"/>
        <v>98</v>
      </c>
      <c r="K97" s="71">
        <f t="shared" si="2"/>
        <v>4.2210842818095869E-3</v>
      </c>
    </row>
    <row r="98" spans="4:11" x14ac:dyDescent="0.35">
      <c r="D98" s="47">
        <f>IF(F27&lt;&gt;"",NA(),(ROW()-ROW(D40))/100)</f>
        <v>0.57999999999999996</v>
      </c>
      <c r="E98" s="48">
        <f>IF(F27&lt;&gt;"",NA(),IF(F25="u",F26+(1/2)*(LN((1-E25)/E25))^-1*(D27-E26)*LN(D98/(1-D98))+((1-2*E25)*(LN((1-E25)/E25)))^-1*(1-2*(F26-E26)/(D27-E26))*(D27-E26)*(D98-0.5)*LN(D98/(1-D98)),IF(F25="sl",D26+EXP(LN(F26-D26)+(1/2)*(LN((1-E25)/E25))^-1*LN((D27-D26)/(E26-D26))*LN(D98/(1-D98))+((1-2*E25)*(LN((1-E25)/E25)))^-1*LN(((D27-D26)*(E26-D26))/(F26-D26)^2)*(D98-0.5)*LN(D98/(1-D98))),IF(F25="su",E27-EXP(-(-LN(E27-F26)-(1/2)*(LN((1-E25)/E25))^-1*LN((E27-D27)/(E27-E26))*LN(D98/(1-D98))-((1-2*E25)*(LN((1-E25)/E25)))^-1*LN(((E27-D27)*(E27-E26))/(E27-F26)^2)*(D98-0.5)*LN(D98/(1-D98)))),IF(F25="b",(D26+E27*EXP(LN((F26-D26)/(E27-F26))+(1/2)*(LN((1-E25)/E25))^-1*LN(((D27-D26)/(E27-D27))/((E26-D26)/(E27-E26)))*LN(D98/(1-D98))+((1-2*E25)*(LN((1-E25)/E25)))^-1*LN((((D27-D26)/(E27-D27))*((E26-D26)/(E27-E26)))/((F26-D26)/(E27-F26))^2)*(D98-0.5)*LN(D98/(1-D98))))/(1+EXP(LN((F26-D26)/(E27-F26))+(1/2)*(LN((1-E25)/E25))^-1*LN(((D27-D26)/(E27-D27))/((E26-D26)/(E27-E26)))*LN(D98/(1-D98))+((1-2*E25)*(LN((1-E25)/E25)))^-1*LN((((D27-D26)/(E27-D27))*((E26-D26)/(E27-E26)))/((F26-D26)/(E27-F26))^2)*(D98-0.5)*LN(D98/(1-D98)))),NA())))))</f>
        <v>38.084910530967022</v>
      </c>
      <c r="F98" s="49">
        <f>IF(F27&lt;&gt;"",NA(),IF(F25="u",((1/2)*(LN((1-E25)/E25))^-1*(D27-E26)/(D98*(1-D98))+((1-2*E25)*(LN((1-E25)/E25)))^-1*(1-2*(F26-E26)/(D27-E26))*(D27-E26)*((D98-0.5)/(D98*(1-D98))+LN(D98/(1-D98))))^(-1),IF(F25="sl",((1/2)*(LN((1-E25)/E25))^-1*LN((D27-D26)/(E26-D26))/(D98*(1-D98))+((1-2*E25)*(LN((1-E25)/E25)))^-1*LN(((D27-D26)*(E26-D26))/(F26-D26)^2)*((D98-0.5)/(D98*(1-D98))+LN(D98/(1-D98))))^(-1)*EXP(-(LN(F26-D26)+(1/2)*(LN((1-E25)/E25))^-1*LN((D27-D26)/(E26-D26))*LN(D98/(1-D98))+((1-2*E25)*(LN((1-E25)/E25)))^-1*LN(((D27-D26)*(E26-D26))/(F26-D26)^2)*(D98-0.5)*LN(D98/(1-D98)))),IF(F25="su",(-(1/2)*(LN((1-E25)/E25))^-1*LN((E27-D27)/(E27-E26))/(D98*(1-D98))-((1-2*E25)*(LN((1-E25)/E25)))^-1*LN(((E27-D27)*(E27-E26))/(E27-F26)^2)*((D98-0.5)/(D98*(1-D98))+LN(D98/(1-D98))))^(-1)*EXP((-LN(E27-F26)-(1/2)*(LN((1-E25)/E25))^-1*LN((E27-D27)/(E27-E26))*LN(D98/(1-D98))-((1-2*E25)*(LN((1-E25)/E25)))^-1*LN(((E27-D27)*(E27-E26))/(E27-F26)^2)*(D98-0.5)*LN(D98/(1-D98)))),IF(F25="b",((1/2)*(LN((1-E25)/E25))^-1*LN(((D27-D26)/(E27-D27))/((E26-D26)/(E27-E26)))/(D98*(1-D98))+((1-2*E25)*(LN((1-E25)/E25)))^-1*LN((((D27-D26)/(E27-D27))*((E26-D26)/(E27-E26)))/((F26-D26)/(E27-F26))^2)*((D98-0.5)/(D98*(1-D98))+LN(D98/(1-D98))))^(-1)*(1+EXP(LN((F26-D26)/(E27-F26))+(1/2)*(LN((1-E25)/E25))^-1*LN(((D27-D26)/(E27-D27))/((E26-D26)/(E27-E26)))*LN(D98/(1-D98))+((1-2*E25)*(LN((1-E25)/E25)))^-1*LN((((D27-D26)/(E27-D27))*((E26-D26)/(E27-E26)))/((F26-D26)/(E27-F26))^2)*(D98-0.5)*LN(D98/(1-D98))))^2/((E27-D26)*EXP(LN((F26-D26)/(E27-F26))+(1/2)*(LN((1-E25)/E25))^-1*LN(((D27-D26)/(E27-D27))/((E26-D26)/(E27-E26)))*LN(D98/(1-D98))+((1-2*E25)*(LN((1-E25)/E25)))^-1*LN((((D27-D26)/(E27-D27))*((E26-D26)/(E27-E26)))/((F26-D26)/(E27-F26))^2)*(D98-0.5)*LN(D98/(1-D98)))),NA())))))</f>
        <v>2.4348254629447608E-2</v>
      </c>
      <c r="H98" s="72">
        <v>62</v>
      </c>
      <c r="I98" s="69">
        <f t="shared" si="0"/>
        <v>69.212649725476254</v>
      </c>
      <c r="J98" s="70">
        <f t="shared" si="1"/>
        <v>98</v>
      </c>
      <c r="K98" s="71">
        <f t="shared" si="2"/>
        <v>3.8498137351157132E-3</v>
      </c>
    </row>
    <row r="99" spans="4:11" x14ac:dyDescent="0.35">
      <c r="D99" s="47">
        <f>IF(F27&lt;&gt;"",NA(),(ROW()-ROW(D40))/100)</f>
        <v>0.59</v>
      </c>
      <c r="E99" s="48">
        <f>IF(F27&lt;&gt;"",NA(),IF(F25="u",F26+(1/2)*(LN((1-E25)/E25))^-1*(D27-E26)*LN(D99/(1-D99))+((1-2*E25)*(LN((1-E25)/E25)))^-1*(1-2*(F26-E26)/(D27-E26))*(D27-E26)*(D99-0.5)*LN(D99/(1-D99)),IF(F25="sl",D26+EXP(LN(F26-D26)+(1/2)*(LN((1-E25)/E25))^-1*LN((D27-D26)/(E26-D26))*LN(D99/(1-D99))+((1-2*E25)*(LN((1-E25)/E25)))^-1*LN(((D27-D26)*(E26-D26))/(F26-D26)^2)*(D99-0.5)*LN(D99/(1-D99))),IF(F25="su",E27-EXP(-(-LN(E27-F26)-(1/2)*(LN((1-E25)/E25))^-1*LN((E27-D27)/(E27-E26))*LN(D99/(1-D99))-((1-2*E25)*(LN((1-E25)/E25)))^-1*LN(((E27-D27)*(E27-E26))/(E27-F26)^2)*(D99-0.5)*LN(D99/(1-D99)))),IF(F25="b",(D26+E27*EXP(LN((F26-D26)/(E27-F26))+(1/2)*(LN((1-E25)/E25))^-1*LN(((D27-D26)/(E27-D27))/((E26-D26)/(E27-E26)))*LN(D99/(1-D99))+((1-2*E25)*(LN((1-E25)/E25)))^-1*LN((((D27-D26)/(E27-D27))*((E26-D26)/(E27-E26)))/((F26-D26)/(E27-F26))^2)*(D99-0.5)*LN(D99/(1-D99))))/(1+EXP(LN((F26-D26)/(E27-F26))+(1/2)*(LN((1-E25)/E25))^-1*LN(((D27-D26)/(E27-D27))/((E26-D26)/(E27-E26)))*LN(D99/(1-D99))+((1-2*E25)*(LN((1-E25)/E25)))^-1*LN((((D27-D26)/(E27-D27))*((E26-D26)/(E27-E26)))/((F26-D26)/(E27-F26))^2)*(D99-0.5)*LN(D99/(1-D99)))),NA())))))</f>
        <v>38.499309389075378</v>
      </c>
      <c r="F99" s="49">
        <f>IF(F27&lt;&gt;"",NA(),IF(F25="u",((1/2)*(LN((1-E25)/E25))^-1*(D27-E26)/(D99*(1-D99))+((1-2*E25)*(LN((1-E25)/E25)))^-1*(1-2*(F26-E26)/(D27-E26))*(D27-E26)*((D99-0.5)/(D99*(1-D99))+LN(D99/(1-D99))))^(-1),IF(F25="sl",((1/2)*(LN((1-E25)/E25))^-1*LN((D27-D26)/(E26-D26))/(D99*(1-D99))+((1-2*E25)*(LN((1-E25)/E25)))^-1*LN(((D27-D26)*(E26-D26))/(F26-D26)^2)*((D99-0.5)/(D99*(1-D99))+LN(D99/(1-D99))))^(-1)*EXP(-(LN(F26-D26)+(1/2)*(LN((1-E25)/E25))^-1*LN((D27-D26)/(E26-D26))*LN(D99/(1-D99))+((1-2*E25)*(LN((1-E25)/E25)))^-1*LN(((D27-D26)*(E26-D26))/(F26-D26)^2)*(D99-0.5)*LN(D99/(1-D99)))),IF(F25="su",(-(1/2)*(LN((1-E25)/E25))^-1*LN((E27-D27)/(E27-E26))/(D99*(1-D99))-((1-2*E25)*(LN((1-E25)/E25)))^-1*LN(((E27-D27)*(E27-E26))/(E27-F26)^2)*((D99-0.5)/(D99*(1-D99))+LN(D99/(1-D99))))^(-1)*EXP((-LN(E27-F26)-(1/2)*(LN((1-E25)/E25))^-1*LN((E27-D27)/(E27-E26))*LN(D99/(1-D99))-((1-2*E25)*(LN((1-E25)/E25)))^-1*LN(((E27-D27)*(E27-E26))/(E27-F26)^2)*(D99-0.5)*LN(D99/(1-D99)))),IF(F25="b",((1/2)*(LN((1-E25)/E25))^-1*LN(((D27-D26)/(E27-D27))/((E26-D26)/(E27-E26)))/(D99*(1-D99))+((1-2*E25)*(LN((1-E25)/E25)))^-1*LN((((D27-D26)/(E27-D27))*((E26-D26)/(E27-E26)))/((F26-D26)/(E27-F26))^2)*((D99-0.5)/(D99*(1-D99))+LN(D99/(1-D99))))^(-1)*(1+EXP(LN((F26-D26)/(E27-F26))+(1/2)*(LN((1-E25)/E25))^-1*LN(((D27-D26)/(E27-D27))/((E26-D26)/(E27-E26)))*LN(D99/(1-D99))+((1-2*E25)*(LN((1-E25)/E25)))^-1*LN((((D27-D26)/(E27-D27))*((E26-D26)/(E27-E26)))/((F26-D26)/(E27-F26))^2)*(D99-0.5)*LN(D99/(1-D99))))^2/((E27-D26)*EXP(LN((F26-D26)/(E27-F26))+(1/2)*(LN((1-E25)/E25))^-1*LN(((D27-D26)/(E27-D27))/((E26-D26)/(E27-E26)))*LN(D99/(1-D99))+((1-2*E25)*(LN((1-E25)/E25)))^-1*LN((((D27-D26)/(E27-D27))*((E26-D26)/(E27-E26)))/((F26-D26)/(E27-F26))^2)*(D99-0.5)*LN(D99/(1-D99)))),NA())))))</f>
        <v>2.391431739614101E-2</v>
      </c>
      <c r="H99" s="72">
        <v>63</v>
      </c>
      <c r="I99" s="69">
        <f t="shared" si="0"/>
        <v>70.48271015541934</v>
      </c>
      <c r="J99" s="70">
        <f t="shared" si="1"/>
        <v>99</v>
      </c>
      <c r="K99" s="71">
        <f t="shared" si="2"/>
        <v>3.5296648105663546E-3</v>
      </c>
    </row>
    <row r="100" spans="4:11" x14ac:dyDescent="0.35">
      <c r="D100" s="47">
        <f>IF(F27&lt;&gt;"",NA(),(ROW()-ROW(D40))/100)</f>
        <v>0.6</v>
      </c>
      <c r="E100" s="48">
        <f>IF(F27&lt;&gt;"",NA(),IF(F25="u",F26+(1/2)*(LN((1-E25)/E25))^-1*(D27-E26)*LN(D100/(1-D100))+((1-2*E25)*(LN((1-E25)/E25)))^-1*(1-2*(F26-E26)/(D27-E26))*(D27-E26)*(D100-0.5)*LN(D100/(1-D100)),IF(F25="sl",D26+EXP(LN(F26-D26)+(1/2)*(LN((1-E25)/E25))^-1*LN((D27-D26)/(E26-D26))*LN(D100/(1-D100))+((1-2*E25)*(LN((1-E25)/E25)))^-1*LN(((D27-D26)*(E26-D26))/(F26-D26)^2)*(D100-0.5)*LN(D100/(1-D100))),IF(F25="su",E27-EXP(-(-LN(E27-F26)-(1/2)*(LN((1-E25)/E25))^-1*LN((E27-D27)/(E27-E26))*LN(D100/(1-D100))-((1-2*E25)*(LN((1-E25)/E25)))^-1*LN(((E27-D27)*(E27-E26))/(E27-F26)^2)*(D100-0.5)*LN(D100/(1-D100)))),IF(F25="b",(D26+E27*EXP(LN((F26-D26)/(E27-F26))+(1/2)*(LN((1-E25)/E25))^-1*LN(((D27-D26)/(E27-D27))/((E26-D26)/(E27-E26)))*LN(D100/(1-D100))+((1-2*E25)*(LN((1-E25)/E25)))^-1*LN((((D27-D26)/(E27-D27))*((E26-D26)/(E27-E26)))/((F26-D26)/(E27-F26))^2)*(D100-0.5)*LN(D100/(1-D100))))/(1+EXP(LN((F26-D26)/(E27-F26))+(1/2)*(LN((1-E25)/E25))^-1*LN(((D27-D26)/(E27-D27))/((E26-D26)/(E27-E26)))*LN(D100/(1-D100))+((1-2*E25)*(LN((1-E25)/E25)))^-1*LN((((D27-D26)/(E27-D27))*((E26-D26)/(E27-E26)))/((F26-D26)/(E27-F26))^2)*(D100-0.5)*LN(D100/(1-D100)))),NA())))))</f>
        <v>38.921371368303262</v>
      </c>
      <c r="F100" s="49">
        <f>IF(F27&lt;&gt;"",NA(),IF(F25="u",((1/2)*(LN((1-E25)/E25))^-1*(D27-E26)/(D100*(1-D100))+((1-2*E25)*(LN((1-E25)/E25)))^-1*(1-2*(F26-E26)/(D27-E26))*(D27-E26)*((D100-0.5)/(D100*(1-D100))+LN(D100/(1-D100))))^(-1),IF(F25="sl",((1/2)*(LN((1-E25)/E25))^-1*LN((D27-D26)/(E26-D26))/(D100*(1-D100))+((1-2*E25)*(LN((1-E25)/E25)))^-1*LN(((D27-D26)*(E26-D26))/(F26-D26)^2)*((D100-0.5)/(D100*(1-D100))+LN(D100/(1-D100))))^(-1)*EXP(-(LN(F26-D26)+(1/2)*(LN((1-E25)/E25))^-1*LN((D27-D26)/(E26-D26))*LN(D100/(1-D100))+((1-2*E25)*(LN((1-E25)/E25)))^-1*LN(((D27-D26)*(E26-D26))/(F26-D26)^2)*(D100-0.5)*LN(D100/(1-D100)))),IF(F25="su",(-(1/2)*(LN((1-E25)/E25))^-1*LN((E27-D27)/(E27-E26))/(D100*(1-D100))-((1-2*E25)*(LN((1-E25)/E25)))^-1*LN(((E27-D27)*(E27-E26))/(E27-F26)^2)*((D100-0.5)/(D100*(1-D100))+LN(D100/(1-D100))))^(-1)*EXP((-LN(E27-F26)-(1/2)*(LN((1-E25)/E25))^-1*LN((E27-D27)/(E27-E26))*LN(D100/(1-D100))-((1-2*E25)*(LN((1-E25)/E25)))^-1*LN(((E27-D27)*(E27-E26))/(E27-F26)^2)*(D100-0.5)*LN(D100/(1-D100)))),IF(F25="b",((1/2)*(LN((1-E25)/E25))^-1*LN(((D27-D26)/(E27-D27))/((E26-D26)/(E27-E26)))/(D100*(1-D100))+((1-2*E25)*(LN((1-E25)/E25)))^-1*LN((((D27-D26)/(E27-D27))*((E26-D26)/(E27-E26)))/((F26-D26)/(E27-F26))^2)*((D100-0.5)/(D100*(1-D100))+LN(D100/(1-D100))))^(-1)*(1+EXP(LN((F26-D26)/(E27-F26))+(1/2)*(LN((1-E25)/E25))^-1*LN(((D27-D26)/(E27-D27))/((E26-D26)/(E27-E26)))*LN(D100/(1-D100))+((1-2*E25)*(LN((1-E25)/E25)))^-1*LN((((D27-D26)/(E27-D27))*((E26-D26)/(E27-E26)))/((F26-D26)/(E27-F26))^2)*(D100-0.5)*LN(D100/(1-D100))))^2/((E27-D26)*EXP(LN((F26-D26)/(E27-F26))+(1/2)*(LN((1-E25)/E25))^-1*LN(((D27-D26)/(E27-D27))/((E26-D26)/(E27-E26)))*LN(D100/(1-D100))+((1-2*E25)*(LN((1-E25)/E25)))^-1*LN((((D27-D26)/(E27-D27))*((E26-D26)/(E27-E26)))/((F26-D26)/(E27-F26))^2)*(D100-0.5)*LN(D100/(1-D100)))),NA())))))</f>
        <v>2.3472118733250696E-2</v>
      </c>
      <c r="H100" s="72">
        <v>64</v>
      </c>
      <c r="I100" s="69">
        <f t="shared" si="0"/>
        <v>71.752770585362427</v>
      </c>
      <c r="J100" s="70">
        <f t="shared" si="1"/>
        <v>99</v>
      </c>
      <c r="K100" s="71">
        <f t="shared" si="2"/>
        <v>3.2151805378671096E-3</v>
      </c>
    </row>
    <row r="101" spans="4:11" x14ac:dyDescent="0.35">
      <c r="D101" s="47">
        <f>IF(F27&lt;&gt;"",NA(),(ROW()-ROW(D40))/100)</f>
        <v>0.61</v>
      </c>
      <c r="E101" s="48">
        <f>IF(F27&lt;&gt;"",NA(),IF(F25="u",F26+(1/2)*(LN((1-E25)/E25))^-1*(D27-E26)*LN(D101/(1-D101))+((1-2*E25)*(LN((1-E25)/E25)))^-1*(1-2*(F26-E26)/(D27-E26))*(D27-E26)*(D101-0.5)*LN(D101/(1-D101)),IF(F25="sl",D26+EXP(LN(F26-D26)+(1/2)*(LN((1-E25)/E25))^-1*LN((D27-D26)/(E26-D26))*LN(D101/(1-D101))+((1-2*E25)*(LN((1-E25)/E25)))^-1*LN(((D27-D26)*(E26-D26))/(F26-D26)^2)*(D101-0.5)*LN(D101/(1-D101))),IF(F25="su",E27-EXP(-(-LN(E27-F26)-(1/2)*(LN((1-E25)/E25))^-1*LN((E27-D27)/(E27-E26))*LN(D101/(1-D101))-((1-2*E25)*(LN((1-E25)/E25)))^-1*LN(((E27-D27)*(E27-E26))/(E27-F26)^2)*(D101-0.5)*LN(D101/(1-D101)))),IF(F25="b",(D26+E27*EXP(LN((F26-D26)/(E27-F26))+(1/2)*(LN((1-E25)/E25))^-1*LN(((D27-D26)/(E27-D27))/((E26-D26)/(E27-E26)))*LN(D101/(1-D101))+((1-2*E25)*(LN((1-E25)/E25)))^-1*LN((((D27-D26)/(E27-D27))*((E26-D26)/(E27-E26)))/((F26-D26)/(E27-F26))^2)*(D101-0.5)*LN(D101/(1-D101))))/(1+EXP(LN((F26-D26)/(E27-F26))+(1/2)*(LN((1-E25)/E25))^-1*LN(((D27-D26)/(E27-D27))/((E26-D26)/(E27-E26)))*LN(D101/(1-D101))+((1-2*E25)*(LN((1-E25)/E25)))^-1*LN((((D27-D26)/(E27-D27))*((E26-D26)/(E27-E26)))/((F26-D26)/(E27-F26))^2)*(D101-0.5)*LN(D101/(1-D101)))),NA())))))</f>
        <v>39.351534549224304</v>
      </c>
      <c r="F101" s="49">
        <f>IF(F27&lt;&gt;"",NA(),IF(F25="u",((1/2)*(LN((1-E25)/E25))^-1*(D27-E26)/(D101*(1-D101))+((1-2*E25)*(LN((1-E25)/E25)))^-1*(1-2*(F26-E26)/(D27-E26))*(D27-E26)*((D101-0.5)/(D101*(1-D101))+LN(D101/(1-D101))))^(-1),IF(F25="sl",((1/2)*(LN((1-E25)/E25))^-1*LN((D27-D26)/(E26-D26))/(D101*(1-D101))+((1-2*E25)*(LN((1-E25)/E25)))^-1*LN(((D27-D26)*(E26-D26))/(F26-D26)^2)*((D101-0.5)/(D101*(1-D101))+LN(D101/(1-D101))))^(-1)*EXP(-(LN(F26-D26)+(1/2)*(LN((1-E25)/E25))^-1*LN((D27-D26)/(E26-D26))*LN(D101/(1-D101))+((1-2*E25)*(LN((1-E25)/E25)))^-1*LN(((D27-D26)*(E26-D26))/(F26-D26)^2)*(D101-0.5)*LN(D101/(1-D101)))),IF(F25="su",(-(1/2)*(LN((1-E25)/E25))^-1*LN((E27-D27)/(E27-E26))/(D101*(1-D101))-((1-2*E25)*(LN((1-E25)/E25)))^-1*LN(((E27-D27)*(E27-E26))/(E27-F26)^2)*((D101-0.5)/(D101*(1-D101))+LN(D101/(1-D101))))^(-1)*EXP((-LN(E27-F26)-(1/2)*(LN((1-E25)/E25))^-1*LN((E27-D27)/(E27-E26))*LN(D101/(1-D101))-((1-2*E25)*(LN((1-E25)/E25)))^-1*LN(((E27-D27)*(E27-E26))/(E27-F26)^2)*(D101-0.5)*LN(D101/(1-D101)))),IF(F25="b",((1/2)*(LN((1-E25)/E25))^-1*LN(((D27-D26)/(E27-D27))/((E26-D26)/(E27-E26)))/(D101*(1-D101))+((1-2*E25)*(LN((1-E25)/E25)))^-1*LN((((D27-D26)/(E27-D27))*((E26-D26)/(E27-E26)))/((F26-D26)/(E27-F26))^2)*((D101-0.5)/(D101*(1-D101))+LN(D101/(1-D101))))^(-1)*(1+EXP(LN((F26-D26)/(E27-F26))+(1/2)*(LN((1-E25)/E25))^-1*LN(((D27-D26)/(E27-D27))/((E26-D26)/(E27-E26)))*LN(D101/(1-D101))+((1-2*E25)*(LN((1-E25)/E25)))^-1*LN((((D27-D26)/(E27-D27))*((E26-D26)/(E27-E26)))/((F26-D26)/(E27-F26))^2)*(D101-0.5)*LN(D101/(1-D101))))^2/((E27-D26)*EXP(LN((F26-D26)/(E27-F26))+(1/2)*(LN((1-E25)/E25))^-1*LN(((D27-D26)/(E27-D27))/((E26-D26)/(E27-E26)))*LN(D101/(1-D101))+((1-2*E25)*(LN((1-E25)/E25)))^-1*LN((((D27-D26)/(E27-D27))*((E26-D26)/(E27-E26)))/((F26-D26)/(E27-F26))^2)*(D101-0.5)*LN(D101/(1-D101)))),NA())))))</f>
        <v>2.3022032343758429E-2</v>
      </c>
      <c r="H101" s="72">
        <v>65</v>
      </c>
      <c r="I101" s="69">
        <f t="shared" si="0"/>
        <v>73.022831015305513</v>
      </c>
      <c r="J101" s="70">
        <f t="shared" si="1"/>
        <v>100</v>
      </c>
      <c r="K101" s="71">
        <f t="shared" si="2"/>
        <v>2.9378953389269402E-3</v>
      </c>
    </row>
    <row r="102" spans="4:11" x14ac:dyDescent="0.35">
      <c r="D102" s="47">
        <f>IF(F27&lt;&gt;"",NA(),(ROW()-ROW(D40))/100)</f>
        <v>0.62</v>
      </c>
      <c r="E102" s="48">
        <f>IF(F27&lt;&gt;"",NA(),IF(F25="u",F26+(1/2)*(LN((1-E25)/E25))^-1*(D27-E26)*LN(D102/(1-D102))+((1-2*E25)*(LN((1-E25)/E25)))^-1*(1-2*(F26-E26)/(D27-E26))*(D27-E26)*(D102-0.5)*LN(D102/(1-D102)),IF(F25="sl",D26+EXP(LN(F26-D26)+(1/2)*(LN((1-E25)/E25))^-1*LN((D27-D26)/(E26-D26))*LN(D102/(1-D102))+((1-2*E25)*(LN((1-E25)/E25)))^-1*LN(((D27-D26)*(E26-D26))/(F26-D26)^2)*(D102-0.5)*LN(D102/(1-D102))),IF(F25="su",E27-EXP(-(-LN(E27-F26)-(1/2)*(LN((1-E25)/E25))^-1*LN((E27-D27)/(E27-E26))*LN(D102/(1-D102))-((1-2*E25)*(LN((1-E25)/E25)))^-1*LN(((E27-D27)*(E27-E26))/(E27-F26)^2)*(D102-0.5)*LN(D102/(1-D102)))),IF(F25="b",(D26+E27*EXP(LN((F26-D26)/(E27-F26))+(1/2)*(LN((1-E25)/E25))^-1*LN(((D27-D26)/(E27-D27))/((E26-D26)/(E27-E26)))*LN(D102/(1-D102))+((1-2*E25)*(LN((1-E25)/E25)))^-1*LN((((D27-D26)/(E27-D27))*((E26-D26)/(E27-E26)))/((F26-D26)/(E27-F26))^2)*(D102-0.5)*LN(D102/(1-D102))))/(1+EXP(LN((F26-D26)/(E27-F26))+(1/2)*(LN((1-E25)/E25))^-1*LN(((D27-D26)/(E27-D27))/((E26-D26)/(E27-E26)))*LN(D102/(1-D102))+((1-2*E25)*(LN((1-E25)/E25)))^-1*LN((((D27-D26)/(E27-D27))*((E26-D26)/(E27-E26)))/((F26-D26)/(E27-F26))^2)*(D102-0.5)*LN(D102/(1-D102)))),NA())))))</f>
        <v>39.790264478614375</v>
      </c>
      <c r="F102" s="49">
        <f>IF(F27&lt;&gt;"",NA(),IF(F25="u",((1/2)*(LN((1-E25)/E25))^-1*(D27-E26)/(D102*(1-D102))+((1-2*E25)*(LN((1-E25)/E25)))^-1*(1-2*(F26-E26)/(D27-E26))*(D27-E26)*((D102-0.5)/(D102*(1-D102))+LN(D102/(1-D102))))^(-1),IF(F25="sl",((1/2)*(LN((1-E25)/E25))^-1*LN((D27-D26)/(E26-D26))/(D102*(1-D102))+((1-2*E25)*(LN((1-E25)/E25)))^-1*LN(((D27-D26)*(E26-D26))/(F26-D26)^2)*((D102-0.5)/(D102*(1-D102))+LN(D102/(1-D102))))^(-1)*EXP(-(LN(F26-D26)+(1/2)*(LN((1-E25)/E25))^-1*LN((D27-D26)/(E26-D26))*LN(D102/(1-D102))+((1-2*E25)*(LN((1-E25)/E25)))^-1*LN(((D27-D26)*(E26-D26))/(F26-D26)^2)*(D102-0.5)*LN(D102/(1-D102)))),IF(F25="su",(-(1/2)*(LN((1-E25)/E25))^-1*LN((E27-D27)/(E27-E26))/(D102*(1-D102))-((1-2*E25)*(LN((1-E25)/E25)))^-1*LN(((E27-D27)*(E27-E26))/(E27-F26)^2)*((D102-0.5)/(D102*(1-D102))+LN(D102/(1-D102))))^(-1)*EXP((-LN(E27-F26)-(1/2)*(LN((1-E25)/E25))^-1*LN((E27-D27)/(E27-E26))*LN(D102/(1-D102))-((1-2*E25)*(LN((1-E25)/E25)))^-1*LN(((E27-D27)*(E27-E26))/(E27-F26)^2)*(D102-0.5)*LN(D102/(1-D102)))),IF(F25="b",((1/2)*(LN((1-E25)/E25))^-1*LN(((D27-D26)/(E27-D27))/((E26-D26)/(E27-E26)))/(D102*(1-D102))+((1-2*E25)*(LN((1-E25)/E25)))^-1*LN((((D27-D26)/(E27-D27))*((E26-D26)/(E27-E26)))/((F26-D26)/(E27-F26))^2)*((D102-0.5)/(D102*(1-D102))+LN(D102/(1-D102))))^(-1)*(1+EXP(LN((F26-D26)/(E27-F26))+(1/2)*(LN((1-E25)/E25))^-1*LN(((D27-D26)/(E27-D27))/((E26-D26)/(E27-E26)))*LN(D102/(1-D102))+((1-2*E25)*(LN((1-E25)/E25)))^-1*LN((((D27-D26)/(E27-D27))*((E26-D26)/(E27-E26)))/((F26-D26)/(E27-F26))^2)*(D102-0.5)*LN(D102/(1-D102))))^2/((E27-D26)*EXP(LN((F26-D26)/(E27-F26))+(1/2)*(LN((1-E25)/E25))^-1*LN(((D27-D26)/(E27-D27))/((E26-D26)/(E27-E26)))*LN(D102/(1-D102))+((1-2*E25)*(LN((1-E25)/E25)))^-1*LN((((D27-D26)/(E27-D27))*((E26-D26)/(E27-E26)))/((F26-D26)/(E27-F26))^2)*(D102-0.5)*LN(D102/(1-D102)))),NA())))))</f>
        <v>2.2564398884256043E-2</v>
      </c>
      <c r="H102" s="72">
        <v>66</v>
      </c>
      <c r="I102" s="69">
        <f t="shared" si="0"/>
        <v>74.2928914452486</v>
      </c>
      <c r="J102" s="70">
        <f t="shared" si="1"/>
        <v>100</v>
      </c>
      <c r="K102" s="71">
        <f t="shared" si="2"/>
        <v>2.6841241688997574E-3</v>
      </c>
    </row>
    <row r="103" spans="4:11" x14ac:dyDescent="0.35">
      <c r="D103" s="47">
        <f>IF(F27&lt;&gt;"",NA(),(ROW()-ROW(D40))/100)</f>
        <v>0.63</v>
      </c>
      <c r="E103" s="48">
        <f>IF(F27&lt;&gt;"",NA(),IF(F25="u",F26+(1/2)*(LN((1-E25)/E25))^-1*(D27-E26)*LN(D103/(1-D103))+((1-2*E25)*(LN((1-E25)/E25)))^-1*(1-2*(F26-E26)/(D27-E26))*(D27-E26)*(D103-0.5)*LN(D103/(1-D103)),IF(F25="sl",D26+EXP(LN(F26-D26)+(1/2)*(LN((1-E25)/E25))^-1*LN((D27-D26)/(E26-D26))*LN(D103/(1-D103))+((1-2*E25)*(LN((1-E25)/E25)))^-1*LN(((D27-D26)*(E26-D26))/(F26-D26)^2)*(D103-0.5)*LN(D103/(1-D103))),IF(F25="su",E27-EXP(-(-LN(E27-F26)-(1/2)*(LN((1-E25)/E25))^-1*LN((E27-D27)/(E27-E26))*LN(D103/(1-D103))-((1-2*E25)*(LN((1-E25)/E25)))^-1*LN(((E27-D27)*(E27-E26))/(E27-F26)^2)*(D103-0.5)*LN(D103/(1-D103)))),IF(F25="b",(D26+E27*EXP(LN((F26-D26)/(E27-F26))+(1/2)*(LN((1-E25)/E25))^-1*LN(((D27-D26)/(E27-D27))/((E26-D26)/(E27-E26)))*LN(D103/(1-D103))+((1-2*E25)*(LN((1-E25)/E25)))^-1*LN((((D27-D26)/(E27-D27))*((E26-D26)/(E27-E26)))/((F26-D26)/(E27-F26))^2)*(D103-0.5)*LN(D103/(1-D103))))/(1+EXP(LN((F26-D26)/(E27-F26))+(1/2)*(LN((1-E25)/E25))^-1*LN(((D27-D26)/(E27-D27))/((E26-D26)/(E27-E26)))*LN(D103/(1-D103))+((1-2*E25)*(LN((1-E25)/E25)))^-1*LN((((D27-D26)/(E27-D27))*((E26-D26)/(E27-E26)))/((F26-D26)/(E27-F26))^2)*(D103-0.5)*LN(D103/(1-D103)))),NA())))))</f>
        <v>40.238057463947804</v>
      </c>
      <c r="F103" s="49">
        <f>IF(F27&lt;&gt;"",NA(),IF(F25="u",((1/2)*(LN((1-E25)/E25))^-1*(D27-E26)/(D103*(1-D103))+((1-2*E25)*(LN((1-E25)/E25)))^-1*(1-2*(F26-E26)/(D27-E26))*(D27-E26)*((D103-0.5)/(D103*(1-D103))+LN(D103/(1-D103))))^(-1),IF(F25="sl",((1/2)*(LN((1-E25)/E25))^-1*LN((D27-D26)/(E26-D26))/(D103*(1-D103))+((1-2*E25)*(LN((1-E25)/E25)))^-1*LN(((D27-D26)*(E26-D26))/(F26-D26)^2)*((D103-0.5)/(D103*(1-D103))+LN(D103/(1-D103))))^(-1)*EXP(-(LN(F26-D26)+(1/2)*(LN((1-E25)/E25))^-1*LN((D27-D26)/(E26-D26))*LN(D103/(1-D103))+((1-2*E25)*(LN((1-E25)/E25)))^-1*LN(((D27-D26)*(E26-D26))/(F26-D26)^2)*(D103-0.5)*LN(D103/(1-D103)))),IF(F25="su",(-(1/2)*(LN((1-E25)/E25))^-1*LN((E27-D27)/(E27-E26))/(D103*(1-D103))-((1-2*E25)*(LN((1-E25)/E25)))^-1*LN(((E27-D27)*(E27-E26))/(E27-F26)^2)*((D103-0.5)/(D103*(1-D103))+LN(D103/(1-D103))))^(-1)*EXP((-LN(E27-F26)-(1/2)*(LN((1-E25)/E25))^-1*LN((E27-D27)/(E27-E26))*LN(D103/(1-D103))-((1-2*E25)*(LN((1-E25)/E25)))^-1*LN(((E27-D27)*(E27-E26))/(E27-F26)^2)*(D103-0.5)*LN(D103/(1-D103)))),IF(F25="b",((1/2)*(LN((1-E25)/E25))^-1*LN(((D27-D26)/(E27-D27))/((E26-D26)/(E27-E26)))/(D103*(1-D103))+((1-2*E25)*(LN((1-E25)/E25)))^-1*LN((((D27-D26)/(E27-D27))*((E26-D26)/(E27-E26)))/((F26-D26)/(E27-F26))^2)*((D103-0.5)/(D103*(1-D103))+LN(D103/(1-D103))))^(-1)*(1+EXP(LN((F26-D26)/(E27-F26))+(1/2)*(LN((1-E25)/E25))^-1*LN(((D27-D26)/(E27-D27))/((E26-D26)/(E27-E26)))*LN(D103/(1-D103))+((1-2*E25)*(LN((1-E25)/E25)))^-1*LN((((D27-D26)/(E27-D27))*((E26-D26)/(E27-E26)))/((F26-D26)/(E27-F26))^2)*(D103-0.5)*LN(D103/(1-D103))))^2/((E27-D26)*EXP(LN((F26-D26)/(E27-F26))+(1/2)*(LN((1-E25)/E25))^-1*LN(((D27-D26)/(E27-D27))/((E26-D26)/(E27-E26)))*LN(D103/(1-D103))+((1-2*E25)*(LN((1-E25)/E25)))^-1*LN((((D27-D26)/(E27-D27))*((E26-D26)/(E27-E26)))/((F26-D26)/(E27-F26))^2)*(D103-0.5)*LN(D103/(1-D103)))),NA())))))</f>
        <v>2.2099527350708824E-2</v>
      </c>
      <c r="H103" s="72">
        <v>67</v>
      </c>
      <c r="I103" s="69">
        <f t="shared" ref="I103:I136" si="3">I102+I$35</f>
        <v>75.562951875191686</v>
      </c>
      <c r="J103" s="70">
        <f t="shared" ref="J103:J136" si="4">LOOKUP( I103, E$37:E$143, H$37:H$143 )</f>
        <v>100</v>
      </c>
      <c r="K103" s="71">
        <f t="shared" ref="K103:K135" si="5">INDEX( F$37:F$143, J103, 1 ) + (( I103 - INDEX( E$37:E$143, J103, 1 )) / ( INDEX( E$37:E$143, J103+1, 1 ) - INDEX( E$37:E$143, J103, 1 ))) * ( INDEX( F$37:F$143, J103 + 1, 1 ) - INDEX( F$37:F$143, J103, 1 ))</f>
        <v>2.4303529988725743E-3</v>
      </c>
    </row>
    <row r="104" spans="4:11" x14ac:dyDescent="0.35">
      <c r="D104" s="47">
        <f>IF(F27&lt;&gt;"",NA(),(ROW()-ROW(D40))/100)</f>
        <v>0.64</v>
      </c>
      <c r="E104" s="48">
        <f>IF(F27&lt;&gt;"",NA(),IF(F25="u",F26+(1/2)*(LN((1-E25)/E25))^-1*(D27-E26)*LN(D104/(1-D104))+((1-2*E25)*(LN((1-E25)/E25)))^-1*(1-2*(F26-E26)/(D27-E26))*(D27-E26)*(D104-0.5)*LN(D104/(1-D104)),IF(F25="sl",D26+EXP(LN(F26-D26)+(1/2)*(LN((1-E25)/E25))^-1*LN((D27-D26)/(E26-D26))*LN(D104/(1-D104))+((1-2*E25)*(LN((1-E25)/E25)))^-1*LN(((D27-D26)*(E26-D26))/(F26-D26)^2)*(D104-0.5)*LN(D104/(1-D104))),IF(F25="su",E27-EXP(-(-LN(E27-F26)-(1/2)*(LN((1-E25)/E25))^-1*LN((E27-D27)/(E27-E26))*LN(D104/(1-D104))-((1-2*E25)*(LN((1-E25)/E25)))^-1*LN(((E27-D27)*(E27-E26))/(E27-F26)^2)*(D104-0.5)*LN(D104/(1-D104)))),IF(F25="b",(D26+E27*EXP(LN((F26-D26)/(E27-F26))+(1/2)*(LN((1-E25)/E25))^-1*LN(((D27-D26)/(E27-D27))/((E26-D26)/(E27-E26)))*LN(D104/(1-D104))+((1-2*E25)*(LN((1-E25)/E25)))^-1*LN((((D27-D26)/(E27-D27))*((E26-D26)/(E27-E26)))/((F26-D26)/(E27-F26))^2)*(D104-0.5)*LN(D104/(1-D104))))/(1+EXP(LN((F26-D26)/(E27-F26))+(1/2)*(LN((1-E25)/E25))^-1*LN(((D27-D26)/(E27-D27))/((E26-D26)/(E27-E26)))*LN(D104/(1-D104))+((1-2*E25)*(LN((1-E25)/E25)))^-1*LN((((D27-D26)/(E27-D27))*((E26-D26)/(E27-E26)))/((F26-D26)/(E27-F26))^2)*(D104-0.5)*LN(D104/(1-D104)))),NA())))))</f>
        <v>40.695444280358394</v>
      </c>
      <c r="F104" s="49">
        <f>IF(F27&lt;&gt;"",NA(),IF(F25="u",((1/2)*(LN((1-E25)/E25))^-1*(D27-E26)/(D104*(1-D104))+((1-2*E25)*(LN((1-E25)/E25)))^-1*(1-2*(F26-E26)/(D27-E26))*(D27-E26)*((D104-0.5)/(D104*(1-D104))+LN(D104/(1-D104))))^(-1),IF(F25="sl",((1/2)*(LN((1-E25)/E25))^-1*LN((D27-D26)/(E26-D26))/(D104*(1-D104))+((1-2*E25)*(LN((1-E25)/E25)))^-1*LN(((D27-D26)*(E26-D26))/(F26-D26)^2)*((D104-0.5)/(D104*(1-D104))+LN(D104/(1-D104))))^(-1)*EXP(-(LN(F26-D26)+(1/2)*(LN((1-E25)/E25))^-1*LN((D27-D26)/(E26-D26))*LN(D104/(1-D104))+((1-2*E25)*(LN((1-E25)/E25)))^-1*LN(((D27-D26)*(E26-D26))/(F26-D26)^2)*(D104-0.5)*LN(D104/(1-D104)))),IF(F25="su",(-(1/2)*(LN((1-E25)/E25))^-1*LN((E27-D27)/(E27-E26))/(D104*(1-D104))-((1-2*E25)*(LN((1-E25)/E25)))^-1*LN(((E27-D27)*(E27-E26))/(E27-F26)^2)*((D104-0.5)/(D104*(1-D104))+LN(D104/(1-D104))))^(-1)*EXP((-LN(E27-F26)-(1/2)*(LN((1-E25)/E25))^-1*LN((E27-D27)/(E27-E26))*LN(D104/(1-D104))-((1-2*E25)*(LN((1-E25)/E25)))^-1*LN(((E27-D27)*(E27-E26))/(E27-F26)^2)*(D104-0.5)*LN(D104/(1-D104)))),IF(F25="b",((1/2)*(LN((1-E25)/E25))^-1*LN(((D27-D26)/(E27-D27))/((E26-D26)/(E27-E26)))/(D104*(1-D104))+((1-2*E25)*(LN((1-E25)/E25)))^-1*LN((((D27-D26)/(E27-D27))*((E26-D26)/(E27-E26)))/((F26-D26)/(E27-F26))^2)*((D104-0.5)/(D104*(1-D104))+LN(D104/(1-D104))))^(-1)*(1+EXP(LN((F26-D26)/(E27-F26))+(1/2)*(LN((1-E25)/E25))^-1*LN(((D27-D26)/(E27-D27))/((E26-D26)/(E27-E26)))*LN(D104/(1-D104))+((1-2*E25)*(LN((1-E25)/E25)))^-1*LN((((D27-D26)/(E27-D27))*((E26-D26)/(E27-E26)))/((F26-D26)/(E27-F26))^2)*(D104-0.5)*LN(D104/(1-D104))))^2/((E27-D26)*EXP(LN((F26-D26)/(E27-F26))+(1/2)*(LN((1-E25)/E25))^-1*LN(((D27-D26)/(E27-D27))/((E26-D26)/(E27-E26)))*LN(D104/(1-D104))+((1-2*E25)*(LN((1-E25)/E25)))^-1*LN((((D27-D26)/(E27-D27))*((E26-D26)/(E27-E26)))/((F26-D26)/(E27-F26))^2)*(D104-0.5)*LN(D104/(1-D104)))),NA())))))</f>
        <v>2.1627696353324139E-2</v>
      </c>
      <c r="H104" s="72">
        <v>68</v>
      </c>
      <c r="I104" s="69">
        <f t="shared" si="3"/>
        <v>76.833012305134773</v>
      </c>
      <c r="J104" s="70">
        <f t="shared" si="4"/>
        <v>101</v>
      </c>
      <c r="K104" s="71">
        <f t="shared" si="5"/>
        <v>2.2229418986556243E-3</v>
      </c>
    </row>
    <row r="105" spans="4:11" x14ac:dyDescent="0.35">
      <c r="D105" s="47">
        <f>IF(F27&lt;&gt;"",NA(),(ROW()-ROW(D40))/100)</f>
        <v>0.65</v>
      </c>
      <c r="E105" s="48">
        <f>IF(F27&lt;&gt;"",NA(),IF(F25="u",F26+(1/2)*(LN((1-E25)/E25))^-1*(D27-E26)*LN(D105/(1-D105))+((1-2*E25)*(LN((1-E25)/E25)))^-1*(1-2*(F26-E26)/(D27-E26))*(D27-E26)*(D105-0.5)*LN(D105/(1-D105)),IF(F25="sl",D26+EXP(LN(F26-D26)+(1/2)*(LN((1-E25)/E25))^-1*LN((D27-D26)/(E26-D26))*LN(D105/(1-D105))+((1-2*E25)*(LN((1-E25)/E25)))^-1*LN(((D27-D26)*(E26-D26))/(F26-D26)^2)*(D105-0.5)*LN(D105/(1-D105))),IF(F25="su",E27-EXP(-(-LN(E27-F26)-(1/2)*(LN((1-E25)/E25))^-1*LN((E27-D27)/(E27-E26))*LN(D105/(1-D105))-((1-2*E25)*(LN((1-E25)/E25)))^-1*LN(((E27-D27)*(E27-E26))/(E27-F26)^2)*(D105-0.5)*LN(D105/(1-D105)))),IF(F25="b",(D26+E27*EXP(LN((F26-D26)/(E27-F26))+(1/2)*(LN((1-E25)/E25))^-1*LN(((D27-D26)/(E27-D27))/((E26-D26)/(E27-E26)))*LN(D105/(1-D105))+((1-2*E25)*(LN((1-E25)/E25)))^-1*LN((((D27-D26)/(E27-D27))*((E26-D26)/(E27-E26)))/((F26-D26)/(E27-F26))^2)*(D105-0.5)*LN(D105/(1-D105))))/(1+EXP(LN((F26-D26)/(E27-F26))+(1/2)*(LN((1-E25)/E25))^-1*LN(((D27-D26)/(E27-D27))/((E26-D26)/(E27-E26)))*LN(D105/(1-D105))+((1-2*E25)*(LN((1-E25)/E25)))^-1*LN((((D27-D26)/(E27-D27))*((E26-D26)/(E27-E26)))/((F26-D26)/(E27-F26))^2)*(D105-0.5)*LN(D105/(1-D105)))),NA())))))</f>
        <v>41.162994362780616</v>
      </c>
      <c r="F105" s="49">
        <f>IF(F27&lt;&gt;"",NA(),IF(F25="u",((1/2)*(LN((1-E25)/E25))^-1*(D27-E26)/(D105*(1-D105))+((1-2*E25)*(LN((1-E25)/E25)))^-1*(1-2*(F26-E26)/(D27-E26))*(D27-E26)*((D105-0.5)/(D105*(1-D105))+LN(D105/(1-D105))))^(-1),IF(F25="sl",((1/2)*(LN((1-E25)/E25))^-1*LN((D27-D26)/(E26-D26))/(D105*(1-D105))+((1-2*E25)*(LN((1-E25)/E25)))^-1*LN(((D27-D26)*(E26-D26))/(F26-D26)^2)*((D105-0.5)/(D105*(1-D105))+LN(D105/(1-D105))))^(-1)*EXP(-(LN(F26-D26)+(1/2)*(LN((1-E25)/E25))^-1*LN((D27-D26)/(E26-D26))*LN(D105/(1-D105))+((1-2*E25)*(LN((1-E25)/E25)))^-1*LN(((D27-D26)*(E26-D26))/(F26-D26)^2)*(D105-0.5)*LN(D105/(1-D105)))),IF(F25="su",(-(1/2)*(LN((1-E25)/E25))^-1*LN((E27-D27)/(E27-E26))/(D105*(1-D105))-((1-2*E25)*(LN((1-E25)/E25)))^-1*LN(((E27-D27)*(E27-E26))/(E27-F26)^2)*((D105-0.5)/(D105*(1-D105))+LN(D105/(1-D105))))^(-1)*EXP((-LN(E27-F26)-(1/2)*(LN((1-E25)/E25))^-1*LN((E27-D27)/(E27-E26))*LN(D105/(1-D105))-((1-2*E25)*(LN((1-E25)/E25)))^-1*LN(((E27-D27)*(E27-E26))/(E27-F26)^2)*(D105-0.5)*LN(D105/(1-D105)))),IF(F25="b",((1/2)*(LN((1-E25)/E25))^-1*LN(((D27-D26)/(E27-D27))/((E26-D26)/(E27-E26)))/(D105*(1-D105))+((1-2*E25)*(LN((1-E25)/E25)))^-1*LN((((D27-D26)/(E27-D27))*((E26-D26)/(E27-E26)))/((F26-D26)/(E27-F26))^2)*((D105-0.5)/(D105*(1-D105))+LN(D105/(1-D105))))^(-1)*(1+EXP(LN((F26-D26)/(E27-F26))+(1/2)*(LN((1-E25)/E25))^-1*LN(((D27-D26)/(E27-D27))/((E26-D26)/(E27-E26)))*LN(D105/(1-D105))+((1-2*E25)*(LN((1-E25)/E25)))^-1*LN((((D27-D26)/(E27-D27))*((E26-D26)/(E27-E26)))/((F26-D26)/(E27-F26))^2)*(D105-0.5)*LN(D105/(1-D105))))^2/((E27-D26)*EXP(LN((F26-D26)/(E27-F26))+(1/2)*(LN((1-E25)/E25))^-1*LN(((D27-D26)/(E27-D27))/((E26-D26)/(E27-E26)))*LN(D105/(1-D105))+((1-2*E25)*(LN((1-E25)/E25)))^-1*LN((((D27-D26)/(E27-D27))*((E26-D26)/(E27-E26)))/((F26-D26)/(E27-F26))^2)*(D105-0.5)*LN(D105/(1-D105)))),NA())))))</f>
        <v>2.1149155279729551E-2</v>
      </c>
      <c r="H105" s="72">
        <v>69</v>
      </c>
      <c r="I105" s="69">
        <f t="shared" si="3"/>
        <v>78.103072735077859</v>
      </c>
      <c r="J105" s="70">
        <f t="shared" si="4"/>
        <v>101</v>
      </c>
      <c r="K105" s="71">
        <f t="shared" si="5"/>
        <v>2.0347599821972382E-3</v>
      </c>
    </row>
    <row r="106" spans="4:11" x14ac:dyDescent="0.35">
      <c r="D106" s="47">
        <f>IF(F27&lt;&gt;"",NA(),(ROW()-ROW(D40))/100)</f>
        <v>0.66</v>
      </c>
      <c r="E106" s="48">
        <f>IF(F27&lt;&gt;"",NA(),IF(F25="u",F26+(1/2)*(LN((1-E25)/E25))^-1*(D27-E26)*LN(D106/(1-D106))+((1-2*E25)*(LN((1-E25)/E25)))^-1*(1-2*(F26-E26)/(D27-E26))*(D27-E26)*(D106-0.5)*LN(D106/(1-D106)),IF(F25="sl",D26+EXP(LN(F26-D26)+(1/2)*(LN((1-E25)/E25))^-1*LN((D27-D26)/(E26-D26))*LN(D106/(1-D106))+((1-2*E25)*(LN((1-E25)/E25)))^-1*LN(((D27-D26)*(E26-D26))/(F26-D26)^2)*(D106-0.5)*LN(D106/(1-D106))),IF(F25="su",E27-EXP(-(-LN(E27-F26)-(1/2)*(LN((1-E25)/E25))^-1*LN((E27-D27)/(E27-E26))*LN(D106/(1-D106))-((1-2*E25)*(LN((1-E25)/E25)))^-1*LN(((E27-D27)*(E27-E26))/(E27-F26)^2)*(D106-0.5)*LN(D106/(1-D106)))),IF(F25="b",(D26+E27*EXP(LN((F26-D26)/(E27-F26))+(1/2)*(LN((1-E25)/E25))^-1*LN(((D27-D26)/(E27-D27))/((E26-D26)/(E27-E26)))*LN(D106/(1-D106))+((1-2*E25)*(LN((1-E25)/E25)))^-1*LN((((D27-D26)/(E27-D27))*((E26-D26)/(E27-E26)))/((F26-D26)/(E27-F26))^2)*(D106-0.5)*LN(D106/(1-D106))))/(1+EXP(LN((F26-D26)/(E27-F26))+(1/2)*(LN((1-E25)/E25))^-1*LN(((D27-D26)/(E27-D27))/((E26-D26)/(E27-E26)))*LN(D106/(1-D106))+((1-2*E25)*(LN((1-E25)/E25)))^-1*LN((((D27-D26)/(E27-D27))*((E26-D26)/(E27-E26)))/((F26-D26)/(E27-F26))^2)*(D106-0.5)*LN(D106/(1-D106)))),NA())))))</f>
        <v>41.641320570297296</v>
      </c>
      <c r="F106" s="49">
        <f>IF(F27&lt;&gt;"",NA(),IF(F25="u",((1/2)*(LN((1-E25)/E25))^-1*(D27-E26)/(D106*(1-D106))+((1-2*E25)*(LN((1-E25)/E25)))^-1*(1-2*(F26-E26)/(D27-E26))*(D27-E26)*((D106-0.5)/(D106*(1-D106))+LN(D106/(1-D106))))^(-1),IF(F25="sl",((1/2)*(LN((1-E25)/E25))^-1*LN((D27-D26)/(E26-D26))/(D106*(1-D106))+((1-2*E25)*(LN((1-E25)/E25)))^-1*LN(((D27-D26)*(E26-D26))/(F26-D26)^2)*((D106-0.5)/(D106*(1-D106))+LN(D106/(1-D106))))^(-1)*EXP(-(LN(F26-D26)+(1/2)*(LN((1-E25)/E25))^-1*LN((D27-D26)/(E26-D26))*LN(D106/(1-D106))+((1-2*E25)*(LN((1-E25)/E25)))^-1*LN(((D27-D26)*(E26-D26))/(F26-D26)^2)*(D106-0.5)*LN(D106/(1-D106)))),IF(F25="su",(-(1/2)*(LN((1-E25)/E25))^-1*LN((E27-D27)/(E27-E26))/(D106*(1-D106))-((1-2*E25)*(LN((1-E25)/E25)))^-1*LN(((E27-D27)*(E27-E26))/(E27-F26)^2)*((D106-0.5)/(D106*(1-D106))+LN(D106/(1-D106))))^(-1)*EXP((-LN(E27-F26)-(1/2)*(LN((1-E25)/E25))^-1*LN((E27-D27)/(E27-E26))*LN(D106/(1-D106))-((1-2*E25)*(LN((1-E25)/E25)))^-1*LN(((E27-D27)*(E27-E26))/(E27-F26)^2)*(D106-0.5)*LN(D106/(1-D106)))),IF(F25="b",((1/2)*(LN((1-E25)/E25))^-1*LN(((D27-D26)/(E27-D27))/((E26-D26)/(E27-E26)))/(D106*(1-D106))+((1-2*E25)*(LN((1-E25)/E25)))^-1*LN((((D27-D26)/(E27-D27))*((E26-D26)/(E27-E26)))/((F26-D26)/(E27-F26))^2)*((D106-0.5)/(D106*(1-D106))+LN(D106/(1-D106))))^(-1)*(1+EXP(LN((F26-D26)/(E27-F26))+(1/2)*(LN((1-E25)/E25))^-1*LN(((D27-D26)/(E27-D27))/((E26-D26)/(E27-E26)))*LN(D106/(1-D106))+((1-2*E25)*(LN((1-E25)/E25)))^-1*LN((((D27-D26)/(E27-D27))*((E26-D26)/(E27-E26)))/((F26-D26)/(E27-F26))^2)*(D106-0.5)*LN(D106/(1-D106))))^2/((E27-D26)*EXP(LN((F26-D26)/(E27-F26))+(1/2)*(LN((1-E25)/E25))^-1*LN(((D27-D26)/(E27-D27))/((E26-D26)/(E27-E26)))*LN(D106/(1-D106))+((1-2*E25)*(LN((1-E25)/E25)))^-1*LN((((D27-D26)/(E27-D27))*((E26-D26)/(E27-E26)))/((F26-D26)/(E27-F26))^2)*(D106-0.5)*LN(D106/(1-D106)))),NA())))))</f>
        <v>2.0664125345515472E-2</v>
      </c>
      <c r="H106" s="72">
        <v>70</v>
      </c>
      <c r="I106" s="69">
        <f t="shared" si="3"/>
        <v>79.373133165020946</v>
      </c>
      <c r="J106" s="70">
        <f t="shared" si="4"/>
        <v>101</v>
      </c>
      <c r="K106" s="71">
        <f t="shared" si="5"/>
        <v>1.8465780657388523E-3</v>
      </c>
    </row>
    <row r="107" spans="4:11" x14ac:dyDescent="0.35">
      <c r="D107" s="47">
        <f>IF(F27&lt;&gt;"",NA(),(ROW()-ROW(D40))/100)</f>
        <v>0.67</v>
      </c>
      <c r="E107" s="48">
        <f>IF(F27&lt;&gt;"",NA(),IF(F25="u",F26+(1/2)*(LN((1-E25)/E25))^-1*(D27-E26)*LN(D107/(1-D107))+((1-2*E25)*(LN((1-E25)/E25)))^-1*(1-2*(F26-E26)/(D27-E26))*(D27-E26)*(D107-0.5)*LN(D107/(1-D107)),IF(F25="sl",D26+EXP(LN(F26-D26)+(1/2)*(LN((1-E25)/E25))^-1*LN((D27-D26)/(E26-D26))*LN(D107/(1-D107))+((1-2*E25)*(LN((1-E25)/E25)))^-1*LN(((D27-D26)*(E26-D26))/(F26-D26)^2)*(D107-0.5)*LN(D107/(1-D107))),IF(F25="su",E27-EXP(-(-LN(E27-F26)-(1/2)*(LN((1-E25)/E25))^-1*LN((E27-D27)/(E27-E26))*LN(D107/(1-D107))-((1-2*E25)*(LN((1-E25)/E25)))^-1*LN(((E27-D27)*(E27-E26))/(E27-F26)^2)*(D107-0.5)*LN(D107/(1-D107)))),IF(F25="b",(D26+E27*EXP(LN((F26-D26)/(E27-F26))+(1/2)*(LN((1-E25)/E25))^-1*LN(((D27-D26)/(E27-D27))/((E26-D26)/(E27-E26)))*LN(D107/(1-D107))+((1-2*E25)*(LN((1-E25)/E25)))^-1*LN((((D27-D26)/(E27-D27))*((E26-D26)/(E27-E26)))/((F26-D26)/(E27-F26))^2)*(D107-0.5)*LN(D107/(1-D107))))/(1+EXP(LN((F26-D26)/(E27-F26))+(1/2)*(LN((1-E25)/E25))^-1*LN(((D27-D26)/(E27-D27))/((E26-D26)/(E27-E26)))*LN(D107/(1-D107))+((1-2*E25)*(LN((1-E25)/E25)))^-1*LN((((D27-D26)/(E27-D27))*((E26-D26)/(E27-E26)))/((F26-D26)/(E27-F26))^2)*(D107-0.5)*LN(D107/(1-D107)))),NA())))))</f>
        <v>42.131084627487148</v>
      </c>
      <c r="F107" s="49">
        <f>IF(F27&lt;&gt;"",NA(),IF(F25="u",((1/2)*(LN((1-E25)/E25))^-1*(D27-E26)/(D107*(1-D107))+((1-2*E25)*(LN((1-E25)/E25)))^-1*(1-2*(F26-E26)/(D27-E26))*(D27-E26)*((D107-0.5)/(D107*(1-D107))+LN(D107/(1-D107))))^(-1),IF(F25="sl",((1/2)*(LN((1-E25)/E25))^-1*LN((D27-D26)/(E26-D26))/(D107*(1-D107))+((1-2*E25)*(LN((1-E25)/E25)))^-1*LN(((D27-D26)*(E26-D26))/(F26-D26)^2)*((D107-0.5)/(D107*(1-D107))+LN(D107/(1-D107))))^(-1)*EXP(-(LN(F26-D26)+(1/2)*(LN((1-E25)/E25))^-1*LN((D27-D26)/(E26-D26))*LN(D107/(1-D107))+((1-2*E25)*(LN((1-E25)/E25)))^-1*LN(((D27-D26)*(E26-D26))/(F26-D26)^2)*(D107-0.5)*LN(D107/(1-D107)))),IF(F25="su",(-(1/2)*(LN((1-E25)/E25))^-1*LN((E27-D27)/(E27-E26))/(D107*(1-D107))-((1-2*E25)*(LN((1-E25)/E25)))^-1*LN(((E27-D27)*(E27-E26))/(E27-F26)^2)*((D107-0.5)/(D107*(1-D107))+LN(D107/(1-D107))))^(-1)*EXP((-LN(E27-F26)-(1/2)*(LN((1-E25)/E25))^-1*LN((E27-D27)/(E27-E26))*LN(D107/(1-D107))-((1-2*E25)*(LN((1-E25)/E25)))^-1*LN(((E27-D27)*(E27-E26))/(E27-F26)^2)*(D107-0.5)*LN(D107/(1-D107)))),IF(F25="b",((1/2)*(LN((1-E25)/E25))^-1*LN(((D27-D26)/(E27-D27))/((E26-D26)/(E27-E26)))/(D107*(1-D107))+((1-2*E25)*(LN((1-E25)/E25)))^-1*LN((((D27-D26)/(E27-D27))*((E26-D26)/(E27-E26)))/((F26-D26)/(E27-F26))^2)*((D107-0.5)/(D107*(1-D107))+LN(D107/(1-D107))))^(-1)*(1+EXP(LN((F26-D26)/(E27-F26))+(1/2)*(LN((1-E25)/E25))^-1*LN(((D27-D26)/(E27-D27))/((E26-D26)/(E27-E26)))*LN(D107/(1-D107))+((1-2*E25)*(LN((1-E25)/E25)))^-1*LN((((D27-D26)/(E27-D27))*((E26-D26)/(E27-E26)))/((F26-D26)/(E27-F26))^2)*(D107-0.5)*LN(D107/(1-D107))))^2/((E27-D26)*EXP(LN((F26-D26)/(E27-F26))+(1/2)*(LN((1-E25)/E25))^-1*LN(((D27-D26)/(E27-D27))/((E26-D26)/(E27-E26)))*LN(D107/(1-D107))+((1-2*E25)*(LN((1-E25)/E25)))^-1*LN((((D27-D26)/(E27-D27))*((E26-D26)/(E27-E26)))/((F26-D26)/(E27-F26))^2)*(D107-0.5)*LN(D107/(1-D107)))),NA())))))</f>
        <v>2.0172800530890621E-2</v>
      </c>
      <c r="H107" s="72">
        <v>71</v>
      </c>
      <c r="I107" s="69">
        <f t="shared" si="3"/>
        <v>80.643193594964032</v>
      </c>
      <c r="J107" s="70">
        <f t="shared" si="4"/>
        <v>101</v>
      </c>
      <c r="K107" s="71">
        <f t="shared" si="5"/>
        <v>1.6583961492804662E-3</v>
      </c>
    </row>
    <row r="108" spans="4:11" x14ac:dyDescent="0.35">
      <c r="D108" s="47">
        <f>IF(F27&lt;&gt;"",NA(),(ROW()-ROW(D40))/100)</f>
        <v>0.68</v>
      </c>
      <c r="E108" s="48">
        <f>IF(F27&lt;&gt;"",NA(),IF(F25="u",F26+(1/2)*(LN((1-E25)/E25))^-1*(D27-E26)*LN(D108/(1-D108))+((1-2*E25)*(LN((1-E25)/E25)))^-1*(1-2*(F26-E26)/(D27-E26))*(D27-E26)*(D108-0.5)*LN(D108/(1-D108)),IF(F25="sl",D26+EXP(LN(F26-D26)+(1/2)*(LN((1-E25)/E25))^-1*LN((D27-D26)/(E26-D26))*LN(D108/(1-D108))+((1-2*E25)*(LN((1-E25)/E25)))^-1*LN(((D27-D26)*(E26-D26))/(F26-D26)^2)*(D108-0.5)*LN(D108/(1-D108))),IF(F25="su",E27-EXP(-(-LN(E27-F26)-(1/2)*(LN((1-E25)/E25))^-1*LN((E27-D27)/(E27-E26))*LN(D108/(1-D108))-((1-2*E25)*(LN((1-E25)/E25)))^-1*LN(((E27-D27)*(E27-E26))/(E27-F26)^2)*(D108-0.5)*LN(D108/(1-D108)))),IF(F25="b",(D26+E27*EXP(LN((F26-D26)/(E27-F26))+(1/2)*(LN((1-E25)/E25))^-1*LN(((D27-D26)/(E27-D27))/((E26-D26)/(E27-E26)))*LN(D108/(1-D108))+((1-2*E25)*(LN((1-E25)/E25)))^-1*LN((((D27-D26)/(E27-D27))*((E26-D26)/(E27-E26)))/((F26-D26)/(E27-F26))^2)*(D108-0.5)*LN(D108/(1-D108))))/(1+EXP(LN((F26-D26)/(E27-F26))+(1/2)*(LN((1-E25)/E25))^-1*LN(((D27-D26)/(E27-D27))/((E26-D26)/(E27-E26)))*LN(D108/(1-D108))+((1-2*E25)*(LN((1-E25)/E25)))^-1*LN((((D27-D26)/(E27-D27))*((E26-D26)/(E27-E26)))/((F26-D26)/(E27-F26))^2)*(D108-0.5)*LN(D108/(1-D108)))),NA())))))</f>
        <v>42.633003369736151</v>
      </c>
      <c r="F108" s="49">
        <f>IF(F27&lt;&gt;"",NA(),IF(F25="u",((1/2)*(LN((1-E25)/E25))^-1*(D27-E26)/(D108*(1-D108))+((1-2*E25)*(LN((1-E25)/E25)))^-1*(1-2*(F26-E26)/(D27-E26))*(D27-E26)*((D108-0.5)/(D108*(1-D108))+LN(D108/(1-D108))))^(-1),IF(F25="sl",((1/2)*(LN((1-E25)/E25))^-1*LN((D27-D26)/(E26-D26))/(D108*(1-D108))+((1-2*E25)*(LN((1-E25)/E25)))^-1*LN(((D27-D26)*(E26-D26))/(F26-D26)^2)*((D108-0.5)/(D108*(1-D108))+LN(D108/(1-D108))))^(-1)*EXP(-(LN(F26-D26)+(1/2)*(LN((1-E25)/E25))^-1*LN((D27-D26)/(E26-D26))*LN(D108/(1-D108))+((1-2*E25)*(LN((1-E25)/E25)))^-1*LN(((D27-D26)*(E26-D26))/(F26-D26)^2)*(D108-0.5)*LN(D108/(1-D108)))),IF(F25="su",(-(1/2)*(LN((1-E25)/E25))^-1*LN((E27-D27)/(E27-E26))/(D108*(1-D108))-((1-2*E25)*(LN((1-E25)/E25)))^-1*LN(((E27-D27)*(E27-E26))/(E27-F26)^2)*((D108-0.5)/(D108*(1-D108))+LN(D108/(1-D108))))^(-1)*EXP((-LN(E27-F26)-(1/2)*(LN((1-E25)/E25))^-1*LN((E27-D27)/(E27-E26))*LN(D108/(1-D108))-((1-2*E25)*(LN((1-E25)/E25)))^-1*LN(((E27-D27)*(E27-E26))/(E27-F26)^2)*(D108-0.5)*LN(D108/(1-D108)))),IF(F25="b",((1/2)*(LN((1-E25)/E25))^-1*LN(((D27-D26)/(E27-D27))/((E26-D26)/(E27-E26)))/(D108*(1-D108))+((1-2*E25)*(LN((1-E25)/E25)))^-1*LN((((D27-D26)/(E27-D27))*((E26-D26)/(E27-E26)))/((F26-D26)/(E27-F26))^2)*((D108-0.5)/(D108*(1-D108))+LN(D108/(1-D108))))^(-1)*(1+EXP(LN((F26-D26)/(E27-F26))+(1/2)*(LN((1-E25)/E25))^-1*LN(((D27-D26)/(E27-D27))/((E26-D26)/(E27-E26)))*LN(D108/(1-D108))+((1-2*E25)*(LN((1-E25)/E25)))^-1*LN((((D27-D26)/(E27-D27))*((E26-D26)/(E27-E26)))/((F26-D26)/(E27-F26))^2)*(D108-0.5)*LN(D108/(1-D108))))^2/((E27-D26)*EXP(LN((F26-D26)/(E27-F26))+(1/2)*(LN((1-E25)/E25))^-1*LN(((D27-D26)/(E27-D27))/((E26-D26)/(E27-E26)))*LN(D108/(1-D108))+((1-2*E25)*(LN((1-E25)/E25)))^-1*LN((((D27-D26)/(E27-D27))*((E26-D26)/(E27-E26)))/((F26-D26)/(E27-F26))^2)*(D108-0.5)*LN(D108/(1-D108)))),NA())))))</f>
        <v>1.9675348401730269E-2</v>
      </c>
      <c r="H108" s="72">
        <v>72</v>
      </c>
      <c r="I108" s="69">
        <f t="shared" si="3"/>
        <v>81.913254024907118</v>
      </c>
      <c r="J108" s="70">
        <f t="shared" si="4"/>
        <v>102</v>
      </c>
      <c r="K108" s="71">
        <f t="shared" si="5"/>
        <v>1.519253504693052E-3</v>
      </c>
    </row>
    <row r="109" spans="4:11" x14ac:dyDescent="0.35">
      <c r="D109" s="47">
        <f>IF(F27&lt;&gt;"",NA(),(ROW()-ROW(D40))/100)</f>
        <v>0.69</v>
      </c>
      <c r="E109" s="48">
        <f>IF(F27&lt;&gt;"",NA(),IF(F25="u",F26+(1/2)*(LN((1-E25)/E25))^-1*(D27-E26)*LN(D109/(1-D109))+((1-2*E25)*(LN((1-E25)/E25)))^-1*(1-2*(F26-E26)/(D27-E26))*(D27-E26)*(D109-0.5)*LN(D109/(1-D109)),IF(F25="sl",D26+EXP(LN(F26-D26)+(1/2)*(LN((1-E25)/E25))^-1*LN((D27-D26)/(E26-D26))*LN(D109/(1-D109))+((1-2*E25)*(LN((1-E25)/E25)))^-1*LN(((D27-D26)*(E26-D26))/(F26-D26)^2)*(D109-0.5)*LN(D109/(1-D109))),IF(F25="su",E27-EXP(-(-LN(E27-F26)-(1/2)*(LN((1-E25)/E25))^-1*LN((E27-D27)/(E27-E26))*LN(D109/(1-D109))-((1-2*E25)*(LN((1-E25)/E25)))^-1*LN(((E27-D27)*(E27-E26))/(E27-F26)^2)*(D109-0.5)*LN(D109/(1-D109)))),IF(F25="b",(D26+E27*EXP(LN((F26-D26)/(E27-F26))+(1/2)*(LN((1-E25)/E25))^-1*LN(((D27-D26)/(E27-D27))/((E26-D26)/(E27-E26)))*LN(D109/(1-D109))+((1-2*E25)*(LN((1-E25)/E25)))^-1*LN((((D27-D26)/(E27-D27))*((E26-D26)/(E27-E26)))/((F26-D26)/(E27-F26))^2)*(D109-0.5)*LN(D109/(1-D109))))/(1+EXP(LN((F26-D26)/(E27-F26))+(1/2)*(LN((1-E25)/E25))^-1*LN(((D27-D26)/(E27-D27))/((E26-D26)/(E27-E26)))*LN(D109/(1-D109))+((1-2*E25)*(LN((1-E25)/E25)))^-1*LN((((D27-D26)/(E27-D27))*((E26-D26)/(E27-E26)))/((F26-D26)/(E27-F26))^2)*(D109-0.5)*LN(D109/(1-D109)))),NA())))))</f>
        <v>43.147855947302673</v>
      </c>
      <c r="F109" s="49">
        <f>IF(F27&lt;&gt;"",NA(),IF(F25="u",((1/2)*(LN((1-E25)/E25))^-1*(D27-E26)/(D109*(1-D109))+((1-2*E25)*(LN((1-E25)/E25)))^-1*(1-2*(F26-E26)/(D27-E26))*(D27-E26)*((D109-0.5)/(D109*(1-D109))+LN(D109/(1-D109))))^(-1),IF(F25="sl",((1/2)*(LN((1-E25)/E25))^-1*LN((D27-D26)/(E26-D26))/(D109*(1-D109))+((1-2*E25)*(LN((1-E25)/E25)))^-1*LN(((D27-D26)*(E26-D26))/(F26-D26)^2)*((D109-0.5)/(D109*(1-D109))+LN(D109/(1-D109))))^(-1)*EXP(-(LN(F26-D26)+(1/2)*(LN((1-E25)/E25))^-1*LN((D27-D26)/(E26-D26))*LN(D109/(1-D109))+((1-2*E25)*(LN((1-E25)/E25)))^-1*LN(((D27-D26)*(E26-D26))/(F26-D26)^2)*(D109-0.5)*LN(D109/(1-D109)))),IF(F25="su",(-(1/2)*(LN((1-E25)/E25))^-1*LN((E27-D27)/(E27-E26))/(D109*(1-D109))-((1-2*E25)*(LN((1-E25)/E25)))^-1*LN(((E27-D27)*(E27-E26))/(E27-F26)^2)*((D109-0.5)/(D109*(1-D109))+LN(D109/(1-D109))))^(-1)*EXP((-LN(E27-F26)-(1/2)*(LN((1-E25)/E25))^-1*LN((E27-D27)/(E27-E26))*LN(D109/(1-D109))-((1-2*E25)*(LN((1-E25)/E25)))^-1*LN(((E27-D27)*(E27-E26))/(E27-F26)^2)*(D109-0.5)*LN(D109/(1-D109)))),IF(F25="b",((1/2)*(LN((1-E25)/E25))^-1*LN(((D27-D26)/(E27-D27))/((E26-D26)/(E27-E26)))/(D109*(1-D109))+((1-2*E25)*(LN((1-E25)/E25)))^-1*LN((((D27-D26)/(E27-D27))*((E26-D26)/(E27-E26)))/((F26-D26)/(E27-F26))^2)*((D109-0.5)/(D109*(1-D109))+LN(D109/(1-D109))))^(-1)*(1+EXP(LN((F26-D26)/(E27-F26))+(1/2)*(LN((1-E25)/E25))^-1*LN(((D27-D26)/(E27-D27))/((E26-D26)/(E27-E26)))*LN(D109/(1-D109))+((1-2*E25)*(LN((1-E25)/E25)))^-1*LN((((D27-D26)/(E27-D27))*((E26-D26)/(E27-E26)))/((F26-D26)/(E27-F26))^2)*(D109-0.5)*LN(D109/(1-D109))))^2/((E27-D26)*EXP(LN((F26-D26)/(E27-F26))+(1/2)*(LN((1-E25)/E25))^-1*LN(((D27-D26)/(E27-D27))/((E26-D26)/(E27-E26)))*LN(D109/(1-D109))+((1-2*E25)*(LN((1-E25)/E25)))^-1*LN((((D27-D26)/(E27-D27))*((E26-D26)/(E27-E26)))/((F26-D26)/(E27-F26))^2)*(D109-0.5)*LN(D109/(1-D109)))),NA())))))</f>
        <v>1.9171910812658632E-2</v>
      </c>
      <c r="H109" s="72">
        <v>73</v>
      </c>
      <c r="I109" s="69">
        <f t="shared" si="3"/>
        <v>83.183314454850205</v>
      </c>
      <c r="J109" s="70">
        <f t="shared" si="4"/>
        <v>102</v>
      </c>
      <c r="K109" s="71">
        <f t="shared" si="5"/>
        <v>1.403416392100435E-3</v>
      </c>
    </row>
    <row r="110" spans="4:11" x14ac:dyDescent="0.35">
      <c r="D110" s="47">
        <f>IF(F27&lt;&gt;"",NA(),(ROW()-ROW(D40))/100)</f>
        <v>0.7</v>
      </c>
      <c r="E110" s="48">
        <f>IF(F27&lt;&gt;"",NA(),IF(F25="u",F26+(1/2)*(LN((1-E25)/E25))^-1*(D27-E26)*LN(D110/(1-D110))+((1-2*E25)*(LN((1-E25)/E25)))^-1*(1-2*(F26-E26)/(D27-E26))*(D27-E26)*(D110-0.5)*LN(D110/(1-D110)),IF(F25="sl",D26+EXP(LN(F26-D26)+(1/2)*(LN((1-E25)/E25))^-1*LN((D27-D26)/(E26-D26))*LN(D110/(1-D110))+((1-2*E25)*(LN((1-E25)/E25)))^-1*LN(((D27-D26)*(E26-D26))/(F26-D26)^2)*(D110-0.5)*LN(D110/(1-D110))),IF(F25="su",E27-EXP(-(-LN(E27-F26)-(1/2)*(LN((1-E25)/E25))^-1*LN((E27-D27)/(E27-E26))*LN(D110/(1-D110))-((1-2*E25)*(LN((1-E25)/E25)))^-1*LN(((E27-D27)*(E27-E26))/(E27-F26)^2)*(D110-0.5)*LN(D110/(1-D110)))),IF(F25="b",(D26+E27*EXP(LN((F26-D26)/(E27-F26))+(1/2)*(LN((1-E25)/E25))^-1*LN(((D27-D26)/(E27-D27))/((E26-D26)/(E27-E26)))*LN(D110/(1-D110))+((1-2*E25)*(LN((1-E25)/E25)))^-1*LN((((D27-D26)/(E27-D27))*((E26-D26)/(E27-E26)))/((F26-D26)/(E27-F26))^2)*(D110-0.5)*LN(D110/(1-D110))))/(1+EXP(LN((F26-D26)/(E27-F26))+(1/2)*(LN((1-E25)/E25))^-1*LN(((D27-D26)/(E27-D27))/((E26-D26)/(E27-E26)))*LN(D110/(1-D110))+((1-2*E25)*(LN((1-E25)/E25)))^-1*LN((((D27-D26)/(E27-D27))*((E26-D26)/(E27-E26)))/((F26-D26)/(E27-F26))^2)*(D110-0.5)*LN(D110/(1-D110)))),NA())))))</f>
        <v>43.676492178065992</v>
      </c>
      <c r="F110" s="49">
        <f>IF(F27&lt;&gt;"",NA(),IF(F25="u",((1/2)*(LN((1-E25)/E25))^-1*(D27-E26)/(D110*(1-D110))+((1-2*E25)*(LN((1-E25)/E25)))^-1*(1-2*(F26-E26)/(D27-E26))*(D27-E26)*((D110-0.5)/(D110*(1-D110))+LN(D110/(1-D110))))^(-1),IF(F25="sl",((1/2)*(LN((1-E25)/E25))^-1*LN((D27-D26)/(E26-D26))/(D110*(1-D110))+((1-2*E25)*(LN((1-E25)/E25)))^-1*LN(((D27-D26)*(E26-D26))/(F26-D26)^2)*((D110-0.5)/(D110*(1-D110))+LN(D110/(1-D110))))^(-1)*EXP(-(LN(F26-D26)+(1/2)*(LN((1-E25)/E25))^-1*LN((D27-D26)/(E26-D26))*LN(D110/(1-D110))+((1-2*E25)*(LN((1-E25)/E25)))^-1*LN(((D27-D26)*(E26-D26))/(F26-D26)^2)*(D110-0.5)*LN(D110/(1-D110)))),IF(F25="su",(-(1/2)*(LN((1-E25)/E25))^-1*LN((E27-D27)/(E27-E26))/(D110*(1-D110))-((1-2*E25)*(LN((1-E25)/E25)))^-1*LN(((E27-D27)*(E27-E26))/(E27-F26)^2)*((D110-0.5)/(D110*(1-D110))+LN(D110/(1-D110))))^(-1)*EXP((-LN(E27-F26)-(1/2)*(LN((1-E25)/E25))^-1*LN((E27-D27)/(E27-E26))*LN(D110/(1-D110))-((1-2*E25)*(LN((1-E25)/E25)))^-1*LN(((E27-D27)*(E27-E26))/(E27-F26)^2)*(D110-0.5)*LN(D110/(1-D110)))),IF(F25="b",((1/2)*(LN((1-E25)/E25))^-1*LN(((D27-D26)/(E27-D27))/((E26-D26)/(E27-E26)))/(D110*(1-D110))+((1-2*E25)*(LN((1-E25)/E25)))^-1*LN((((D27-D26)/(E27-D27))*((E26-D26)/(E27-E26)))/((F26-D26)/(E27-F26))^2)*((D110-0.5)/(D110*(1-D110))+LN(D110/(1-D110))))^(-1)*(1+EXP(LN((F26-D26)/(E27-F26))+(1/2)*(LN((1-E25)/E25))^-1*LN(((D27-D26)/(E27-D27))/((E26-D26)/(E27-E26)))*LN(D110/(1-D110))+((1-2*E25)*(LN((1-E25)/E25)))^-1*LN((((D27-D26)/(E27-D27))*((E26-D26)/(E27-E26)))/((F26-D26)/(E27-F26))^2)*(D110-0.5)*LN(D110/(1-D110))))^2/((E27-D26)*EXP(LN((F26-D26)/(E27-F26))+(1/2)*(LN((1-E25)/E25))^-1*LN(((D27-D26)/(E27-D27))/((E26-D26)/(E27-E26)))*LN(D110/(1-D110))+((1-2*E25)*(LN((1-E25)/E25)))^-1*LN((((D27-D26)/(E27-D27))*((E26-D26)/(E27-E26)))/((F26-D26)/(E27-F26))^2)*(D110-0.5)*LN(D110/(1-D110)))),NA())))))</f>
        <v>1.8662604488981903E-2</v>
      </c>
      <c r="H110" s="72">
        <v>74</v>
      </c>
      <c r="I110" s="69">
        <f t="shared" si="3"/>
        <v>84.453374884793291</v>
      </c>
      <c r="J110" s="70">
        <f t="shared" si="4"/>
        <v>102</v>
      </c>
      <c r="K110" s="71">
        <f t="shared" si="5"/>
        <v>1.287579279507818E-3</v>
      </c>
    </row>
    <row r="111" spans="4:11" x14ac:dyDescent="0.35">
      <c r="D111" s="47">
        <f>IF(F27&lt;&gt;"",NA(),(ROW()-ROW(D40))/100)</f>
        <v>0.71</v>
      </c>
      <c r="E111" s="48">
        <f>IF(F27&lt;&gt;"",NA(),IF(F25="u",F26+(1/2)*(LN((1-E25)/E25))^-1*(D27-E26)*LN(D111/(1-D111))+((1-2*E25)*(LN((1-E25)/E25)))^-1*(1-2*(F26-E26)/(D27-E26))*(D27-E26)*(D111-0.5)*LN(D111/(1-D111)),IF(F25="sl",D26+EXP(LN(F26-D26)+(1/2)*(LN((1-E25)/E25))^-1*LN((D27-D26)/(E26-D26))*LN(D111/(1-D111))+((1-2*E25)*(LN((1-E25)/E25)))^-1*LN(((D27-D26)*(E26-D26))/(F26-D26)^2)*(D111-0.5)*LN(D111/(1-D111))),IF(F25="su",E27-EXP(-(-LN(E27-F26)-(1/2)*(LN((1-E25)/E25))^-1*LN((E27-D27)/(E27-E26))*LN(D111/(1-D111))-((1-2*E25)*(LN((1-E25)/E25)))^-1*LN(((E27-D27)*(E27-E26))/(E27-F26)^2)*(D111-0.5)*LN(D111/(1-D111)))),IF(F25="b",(D26+E27*EXP(LN((F26-D26)/(E27-F26))+(1/2)*(LN((1-E25)/E25))^-1*LN(((D27-D26)/(E27-D27))/((E26-D26)/(E27-E26)))*LN(D111/(1-D111))+((1-2*E25)*(LN((1-E25)/E25)))^-1*LN((((D27-D26)/(E27-D27))*((E26-D26)/(E27-E26)))/((F26-D26)/(E27-F26))^2)*(D111-0.5)*LN(D111/(1-D111))))/(1+EXP(LN((F26-D26)/(E27-F26))+(1/2)*(LN((1-E25)/E25))^-1*LN(((D27-D26)/(E27-D27))/((E26-D26)/(E27-E26)))*LN(D111/(1-D111))+((1-2*E25)*(LN((1-E25)/E25)))^-1*LN((((D27-D26)/(E27-D27))*((E26-D26)/(E27-E26)))/((F26-D26)/(E27-F26))^2)*(D111-0.5)*LN(D111/(1-D111)))),NA())))))</f>
        <v>44.219842283566393</v>
      </c>
      <c r="F111" s="49">
        <f>IF(F27&lt;&gt;"",NA(),IF(F25="u",((1/2)*(LN((1-E25)/E25))^-1*(D27-E26)/(D111*(1-D111))+((1-2*E25)*(LN((1-E25)/E25)))^-1*(1-2*(F26-E26)/(D27-E26))*(D27-E26)*((D111-0.5)/(D111*(1-D111))+LN(D111/(1-D111))))^(-1),IF(F25="sl",((1/2)*(LN((1-E25)/E25))^-1*LN((D27-D26)/(E26-D26))/(D111*(1-D111))+((1-2*E25)*(LN((1-E25)/E25)))^-1*LN(((D27-D26)*(E26-D26))/(F26-D26)^2)*((D111-0.5)/(D111*(1-D111))+LN(D111/(1-D111))))^(-1)*EXP(-(LN(F26-D26)+(1/2)*(LN((1-E25)/E25))^-1*LN((D27-D26)/(E26-D26))*LN(D111/(1-D111))+((1-2*E25)*(LN((1-E25)/E25)))^-1*LN(((D27-D26)*(E26-D26))/(F26-D26)^2)*(D111-0.5)*LN(D111/(1-D111)))),IF(F25="su",(-(1/2)*(LN((1-E25)/E25))^-1*LN((E27-D27)/(E27-E26))/(D111*(1-D111))-((1-2*E25)*(LN((1-E25)/E25)))^-1*LN(((E27-D27)*(E27-E26))/(E27-F26)^2)*((D111-0.5)/(D111*(1-D111))+LN(D111/(1-D111))))^(-1)*EXP((-LN(E27-F26)-(1/2)*(LN((1-E25)/E25))^-1*LN((E27-D27)/(E27-E26))*LN(D111/(1-D111))-((1-2*E25)*(LN((1-E25)/E25)))^-1*LN(((E27-D27)*(E27-E26))/(E27-F26)^2)*(D111-0.5)*LN(D111/(1-D111)))),IF(F25="b",((1/2)*(LN((1-E25)/E25))^-1*LN(((D27-D26)/(E27-D27))/((E26-D26)/(E27-E26)))/(D111*(1-D111))+((1-2*E25)*(LN((1-E25)/E25)))^-1*LN((((D27-D26)/(E27-D27))*((E26-D26)/(E27-E26)))/((F26-D26)/(E27-F26))^2)*((D111-0.5)/(D111*(1-D111))+LN(D111/(1-D111))))^(-1)*(1+EXP(LN((F26-D26)/(E27-F26))+(1/2)*(LN((1-E25)/E25))^-1*LN(((D27-D26)/(E27-D27))/((E26-D26)/(E27-E26)))*LN(D111/(1-D111))+((1-2*E25)*(LN((1-E25)/E25)))^-1*LN((((D27-D26)/(E27-D27))*((E26-D26)/(E27-E26)))/((F26-D26)/(E27-F26))^2)*(D111-0.5)*LN(D111/(1-D111))))^2/((E27-D26)*EXP(LN((F26-D26)/(E27-F26))+(1/2)*(LN((1-E25)/E25))^-1*LN(((D27-D26)/(E27-D27))/((E26-D26)/(E27-E26)))*LN(D111/(1-D111))+((1-2*E25)*(LN((1-E25)/E25)))^-1*LN((((D27-D26)/(E27-D27))*((E26-D26)/(E27-E26)))/((F26-D26)/(E27-F26))^2)*(D111-0.5)*LN(D111/(1-D111)))),NA())))))</f>
        <v>1.8147521483253586E-2</v>
      </c>
      <c r="H111" s="72">
        <v>75</v>
      </c>
      <c r="I111" s="69">
        <f t="shared" si="3"/>
        <v>85.723435314736378</v>
      </c>
      <c r="J111" s="70">
        <f t="shared" si="4"/>
        <v>102</v>
      </c>
      <c r="K111" s="71">
        <f t="shared" si="5"/>
        <v>1.1717421669152012E-3</v>
      </c>
    </row>
    <row r="112" spans="4:11" x14ac:dyDescent="0.35">
      <c r="D112" s="47">
        <f>IF(F27&lt;&gt;"",NA(),(ROW()-ROW(D40))/100)</f>
        <v>0.72</v>
      </c>
      <c r="E112" s="48">
        <f>IF(F27&lt;&gt;"",NA(),IF(F25="u",F26+(1/2)*(LN((1-E25)/E25))^-1*(D27-E26)*LN(D112/(1-D112))+((1-2*E25)*(LN((1-E25)/E25)))^-1*(1-2*(F26-E26)/(D27-E26))*(D27-E26)*(D112-0.5)*LN(D112/(1-D112)),IF(F25="sl",D26+EXP(LN(F26-D26)+(1/2)*(LN((1-E25)/E25))^-1*LN((D27-D26)/(E26-D26))*LN(D112/(1-D112))+((1-2*E25)*(LN((1-E25)/E25)))^-1*LN(((D27-D26)*(E26-D26))/(F26-D26)^2)*(D112-0.5)*LN(D112/(1-D112))),IF(F25="su",E27-EXP(-(-LN(E27-F26)-(1/2)*(LN((1-E25)/E25))^-1*LN((E27-D27)/(E27-E26))*LN(D112/(1-D112))-((1-2*E25)*(LN((1-E25)/E25)))^-1*LN(((E27-D27)*(E27-E26))/(E27-F26)^2)*(D112-0.5)*LN(D112/(1-D112)))),IF(F25="b",(D26+E27*EXP(LN((F26-D26)/(E27-F26))+(1/2)*(LN((1-E25)/E25))^-1*LN(((D27-D26)/(E27-D27))/((E26-D26)/(E27-E26)))*LN(D112/(1-D112))+((1-2*E25)*(LN((1-E25)/E25)))^-1*LN((((D27-D26)/(E27-D27))*((E26-D26)/(E27-E26)))/((F26-D26)/(E27-F26))^2)*(D112-0.5)*LN(D112/(1-D112))))/(1+EXP(LN((F26-D26)/(E27-F26))+(1/2)*(LN((1-E25)/E25))^-1*LN(((D27-D26)/(E27-D27))/((E26-D26)/(E27-E26)))*LN(D112/(1-D112))+((1-2*E25)*(LN((1-E25)/E25)))^-1*LN((((D27-D26)/(E27-D27))*((E26-D26)/(E27-E26)))/((F26-D26)/(E27-F26))^2)*(D112-0.5)*LN(D112/(1-D112)))),NA())))))</f>
        <v>44.778928300164154</v>
      </c>
      <c r="F112" s="49">
        <f>IF(F27&lt;&gt;"",NA(),IF(F25="u",((1/2)*(LN((1-E25)/E25))^-1*(D27-E26)/(D112*(1-D112))+((1-2*E25)*(LN((1-E25)/E25)))^-1*(1-2*(F26-E26)/(D27-E26))*(D27-E26)*((D112-0.5)/(D112*(1-D112))+LN(D112/(1-D112))))^(-1),IF(F25="sl",((1/2)*(LN((1-E25)/E25))^-1*LN((D27-D26)/(E26-D26))/(D112*(1-D112))+((1-2*E25)*(LN((1-E25)/E25)))^-1*LN(((D27-D26)*(E26-D26))/(F26-D26)^2)*((D112-0.5)/(D112*(1-D112))+LN(D112/(1-D112))))^(-1)*EXP(-(LN(F26-D26)+(1/2)*(LN((1-E25)/E25))^-1*LN((D27-D26)/(E26-D26))*LN(D112/(1-D112))+((1-2*E25)*(LN((1-E25)/E25)))^-1*LN(((D27-D26)*(E26-D26))/(F26-D26)^2)*(D112-0.5)*LN(D112/(1-D112)))),IF(F25="su",(-(1/2)*(LN((1-E25)/E25))^-1*LN((E27-D27)/(E27-E26))/(D112*(1-D112))-((1-2*E25)*(LN((1-E25)/E25)))^-1*LN(((E27-D27)*(E27-E26))/(E27-F26)^2)*((D112-0.5)/(D112*(1-D112))+LN(D112/(1-D112))))^(-1)*EXP((-LN(E27-F26)-(1/2)*(LN((1-E25)/E25))^-1*LN((E27-D27)/(E27-E26))*LN(D112/(1-D112))-((1-2*E25)*(LN((1-E25)/E25)))^-1*LN(((E27-D27)*(E27-E26))/(E27-F26)^2)*(D112-0.5)*LN(D112/(1-D112)))),IF(F25="b",((1/2)*(LN((1-E25)/E25))^-1*LN(((D27-D26)/(E27-D27))/((E26-D26)/(E27-E26)))/(D112*(1-D112))+((1-2*E25)*(LN((1-E25)/E25)))^-1*LN((((D27-D26)/(E27-D27))*((E26-D26)/(E27-E26)))/((F26-D26)/(E27-F26))^2)*((D112-0.5)/(D112*(1-D112))+LN(D112/(1-D112))))^(-1)*(1+EXP(LN((F26-D26)/(E27-F26))+(1/2)*(LN((1-E25)/E25))^-1*LN(((D27-D26)/(E27-D27))/((E26-D26)/(E27-E26)))*LN(D112/(1-D112))+((1-2*E25)*(LN((1-E25)/E25)))^-1*LN((((D27-D26)/(E27-D27))*((E26-D26)/(E27-E26)))/((F26-D26)/(E27-F26))^2)*(D112-0.5)*LN(D112/(1-D112))))^2/((E27-D26)*EXP(LN((F26-D26)/(E27-F26))+(1/2)*(LN((1-E25)/E25))^-1*LN(((D27-D26)/(E27-D27))/((E26-D26)/(E27-E26)))*LN(D112/(1-D112))+((1-2*E25)*(LN((1-E25)/E25)))^-1*LN((((D27-D26)/(E27-D27))*((E26-D26)/(E27-E26)))/((F26-D26)/(E27-F26))^2)*(D112-0.5)*LN(D112/(1-D112)))),NA())))))</f>
        <v>1.7626729500975217E-2</v>
      </c>
      <c r="H112" s="72">
        <v>76</v>
      </c>
      <c r="I112" s="69">
        <f t="shared" si="3"/>
        <v>86.993495744679464</v>
      </c>
      <c r="J112" s="70">
        <f t="shared" si="4"/>
        <v>102</v>
      </c>
      <c r="K112" s="71">
        <f t="shared" si="5"/>
        <v>1.055905054322584E-3</v>
      </c>
    </row>
    <row r="113" spans="4:11" x14ac:dyDescent="0.35">
      <c r="D113" s="47">
        <f>IF(F27&lt;&gt;"",NA(),(ROW()-ROW(D40))/100)</f>
        <v>0.73</v>
      </c>
      <c r="E113" s="48">
        <f>IF(F27&lt;&gt;"",NA(),IF(F25="u",F26+(1/2)*(LN((1-E25)/E25))^-1*(D27-E26)*LN(D113/(1-D113))+((1-2*E25)*(LN((1-E25)/E25)))^-1*(1-2*(F26-E26)/(D27-E26))*(D27-E26)*(D113-0.5)*LN(D113/(1-D113)),IF(F25="sl",D26+EXP(LN(F26-D26)+(1/2)*(LN((1-E25)/E25))^-1*LN((D27-D26)/(E26-D26))*LN(D113/(1-D113))+((1-2*E25)*(LN((1-E25)/E25)))^-1*LN(((D27-D26)*(E26-D26))/(F26-D26)^2)*(D113-0.5)*LN(D113/(1-D113))),IF(F25="su",E27-EXP(-(-LN(E27-F26)-(1/2)*(LN((1-E25)/E25))^-1*LN((E27-D27)/(E27-E26))*LN(D113/(1-D113))-((1-2*E25)*(LN((1-E25)/E25)))^-1*LN(((E27-D27)*(E27-E26))/(E27-F26)^2)*(D113-0.5)*LN(D113/(1-D113)))),IF(F25="b",(D26+E27*EXP(LN((F26-D26)/(E27-F26))+(1/2)*(LN((1-E25)/E25))^-1*LN(((D27-D26)/(E27-D27))/((E26-D26)/(E27-E26)))*LN(D113/(1-D113))+((1-2*E25)*(LN((1-E25)/E25)))^-1*LN((((D27-D26)/(E27-D27))*((E26-D26)/(E27-E26)))/((F26-D26)/(E27-F26))^2)*(D113-0.5)*LN(D113/(1-D113))))/(1+EXP(LN((F26-D26)/(E27-F26))+(1/2)*(LN((1-E25)/E25))^-1*LN(((D27-D26)/(E27-D27))/((E26-D26)/(E27-E26)))*LN(D113/(1-D113))+((1-2*E25)*(LN((1-E25)/E25)))^-1*LN((((D27-D26)/(E27-D27))*((E26-D26)/(E27-E26)))/((F26-D26)/(E27-F26))^2)*(D113-0.5)*LN(D113/(1-D113)))),NA())))))</f>
        <v>45.354877531000284</v>
      </c>
      <c r="F113" s="49">
        <f>IF(F27&lt;&gt;"",NA(),IF(F25="u",((1/2)*(LN((1-E25)/E25))^-1*(D27-E26)/(D113*(1-D113))+((1-2*E25)*(LN((1-E25)/E25)))^-1*(1-2*(F26-E26)/(D27-E26))*(D27-E26)*((D113-0.5)/(D113*(1-D113))+LN(D113/(1-D113))))^(-1),IF(F25="sl",((1/2)*(LN((1-E25)/E25))^-1*LN((D27-D26)/(E26-D26))/(D113*(1-D113))+((1-2*E25)*(LN((1-E25)/E25)))^-1*LN(((D27-D26)*(E26-D26))/(F26-D26)^2)*((D113-0.5)/(D113*(1-D113))+LN(D113/(1-D113))))^(-1)*EXP(-(LN(F26-D26)+(1/2)*(LN((1-E25)/E25))^-1*LN((D27-D26)/(E26-D26))*LN(D113/(1-D113))+((1-2*E25)*(LN((1-E25)/E25)))^-1*LN(((D27-D26)*(E26-D26))/(F26-D26)^2)*(D113-0.5)*LN(D113/(1-D113)))),IF(F25="su",(-(1/2)*(LN((1-E25)/E25))^-1*LN((E27-D27)/(E27-E26))/(D113*(1-D113))-((1-2*E25)*(LN((1-E25)/E25)))^-1*LN(((E27-D27)*(E27-E26))/(E27-F26)^2)*((D113-0.5)/(D113*(1-D113))+LN(D113/(1-D113))))^(-1)*EXP((-LN(E27-F26)-(1/2)*(LN((1-E25)/E25))^-1*LN((E27-D27)/(E27-E26))*LN(D113/(1-D113))-((1-2*E25)*(LN((1-E25)/E25)))^-1*LN(((E27-D27)*(E27-E26))/(E27-F26)^2)*(D113-0.5)*LN(D113/(1-D113)))),IF(F25="b",((1/2)*(LN((1-E25)/E25))^-1*LN(((D27-D26)/(E27-D27))/((E26-D26)/(E27-E26)))/(D113*(1-D113))+((1-2*E25)*(LN((1-E25)/E25)))^-1*LN((((D27-D26)/(E27-D27))*((E26-D26)/(E27-E26)))/((F26-D26)/(E27-F26))^2)*((D113-0.5)/(D113*(1-D113))+LN(D113/(1-D113))))^(-1)*(1+EXP(LN((F26-D26)/(E27-F26))+(1/2)*(LN((1-E25)/E25))^-1*LN(((D27-D26)/(E27-D27))/((E26-D26)/(E27-E26)))*LN(D113/(1-D113))+((1-2*E25)*(LN((1-E25)/E25)))^-1*LN((((D27-D26)/(E27-D27))*((E26-D26)/(E27-E26)))/((F26-D26)/(E27-F26))^2)*(D113-0.5)*LN(D113/(1-D113))))^2/((E27-D26)*EXP(LN((F26-D26)/(E27-F26))+(1/2)*(LN((1-E25)/E25))^-1*LN(((D27-D26)/(E27-D27))/((E26-D26)/(E27-E26)))*LN(D113/(1-D113))+((1-2*E25)*(LN((1-E25)/E25)))^-1*LN((((D27-D26)/(E27-D27))*((E26-D26)/(E27-E26)))/((F26-D26)/(E27-F26))^2)*(D113-0.5)*LN(D113/(1-D113)))),NA())))))</f>
        <v>1.7100272088367653E-2</v>
      </c>
      <c r="H113" s="72">
        <v>77</v>
      </c>
      <c r="I113" s="69">
        <f t="shared" si="3"/>
        <v>88.263556174622551</v>
      </c>
      <c r="J113" s="70">
        <f t="shared" si="4"/>
        <v>102</v>
      </c>
      <c r="K113" s="71">
        <f t="shared" si="5"/>
        <v>9.4006794172996706E-4</v>
      </c>
    </row>
    <row r="114" spans="4:11" x14ac:dyDescent="0.35">
      <c r="D114" s="47">
        <f>IF(F27&lt;&gt;"",NA(),(ROW()-ROW(D40))/100)</f>
        <v>0.74</v>
      </c>
      <c r="E114" s="48">
        <f>IF(F27&lt;&gt;"",NA(),IF(F25="u",F26+(1/2)*(LN((1-E25)/E25))^-1*(D27-E26)*LN(D114/(1-D114))+((1-2*E25)*(LN((1-E25)/E25)))^-1*(1-2*(F26-E26)/(D27-E26))*(D27-E26)*(D114-0.5)*LN(D114/(1-D114)),IF(F25="sl",D26+EXP(LN(F26-D26)+(1/2)*(LN((1-E25)/E25))^-1*LN((D27-D26)/(E26-D26))*LN(D114/(1-D114))+((1-2*E25)*(LN((1-E25)/E25)))^-1*LN(((D27-D26)*(E26-D26))/(F26-D26)^2)*(D114-0.5)*LN(D114/(1-D114))),IF(F25="su",E27-EXP(-(-LN(E27-F26)-(1/2)*(LN((1-E25)/E25))^-1*LN((E27-D27)/(E27-E26))*LN(D114/(1-D114))-((1-2*E25)*(LN((1-E25)/E25)))^-1*LN(((E27-D27)*(E27-E26))/(E27-F26)^2)*(D114-0.5)*LN(D114/(1-D114)))),IF(F25="b",(D26+E27*EXP(LN((F26-D26)/(E27-F26))+(1/2)*(LN((1-E25)/E25))^-1*LN(((D27-D26)/(E27-D27))/((E26-D26)/(E27-E26)))*LN(D114/(1-D114))+((1-2*E25)*(LN((1-E25)/E25)))^-1*LN((((D27-D26)/(E27-D27))*((E26-D26)/(E27-E26)))/((F26-D26)/(E27-F26))^2)*(D114-0.5)*LN(D114/(1-D114))))/(1+EXP(LN((F26-D26)/(E27-F26))+(1/2)*(LN((1-E25)/E25))^-1*LN(((D27-D26)/(E27-D27))/((E26-D26)/(E27-E26)))*LN(D114/(1-D114))+((1-2*E25)*(LN((1-E25)/E25)))^-1*LN((((D27-D26)/(E27-D27))*((E26-D26)/(E27-E26)))/((F26-D26)/(E27-F26))^2)*(D114-0.5)*LN(D114/(1-D114)))),NA())))))</f>
        <v>45.948938500573014</v>
      </c>
      <c r="F114" s="49">
        <f>IF(F27&lt;&gt;"",NA(),IF(F25="u",((1/2)*(LN((1-E25)/E25))^-1*(D27-E26)/(D114*(1-D114))+((1-2*E25)*(LN((1-E25)/E25)))^-1*(1-2*(F26-E26)/(D27-E26))*(D27-E26)*((D114-0.5)/(D114*(1-D114))+LN(D114/(1-D114))))^(-1),IF(F25="sl",((1/2)*(LN((1-E25)/E25))^-1*LN((D27-D26)/(E26-D26))/(D114*(1-D114))+((1-2*E25)*(LN((1-E25)/E25)))^-1*LN(((D27-D26)*(E26-D26))/(F26-D26)^2)*((D114-0.5)/(D114*(1-D114))+LN(D114/(1-D114))))^(-1)*EXP(-(LN(F26-D26)+(1/2)*(LN((1-E25)/E25))^-1*LN((D27-D26)/(E26-D26))*LN(D114/(1-D114))+((1-2*E25)*(LN((1-E25)/E25)))^-1*LN(((D27-D26)*(E26-D26))/(F26-D26)^2)*(D114-0.5)*LN(D114/(1-D114)))),IF(F25="su",(-(1/2)*(LN((1-E25)/E25))^-1*LN((E27-D27)/(E27-E26))/(D114*(1-D114))-((1-2*E25)*(LN((1-E25)/E25)))^-1*LN(((E27-D27)*(E27-E26))/(E27-F26)^2)*((D114-0.5)/(D114*(1-D114))+LN(D114/(1-D114))))^(-1)*EXP((-LN(E27-F26)-(1/2)*(LN((1-E25)/E25))^-1*LN((E27-D27)/(E27-E26))*LN(D114/(1-D114))-((1-2*E25)*(LN((1-E25)/E25)))^-1*LN(((E27-D27)*(E27-E26))/(E27-F26)^2)*(D114-0.5)*LN(D114/(1-D114)))),IF(F25="b",((1/2)*(LN((1-E25)/E25))^-1*LN(((D27-D26)/(E27-D27))/((E26-D26)/(E27-E26)))/(D114*(1-D114))+((1-2*E25)*(LN((1-E25)/E25)))^-1*LN((((D27-D26)/(E27-D27))*((E26-D26)/(E27-E26)))/((F26-D26)/(E27-F26))^2)*((D114-0.5)/(D114*(1-D114))+LN(D114/(1-D114))))^(-1)*(1+EXP(LN((F26-D26)/(E27-F26))+(1/2)*(LN((1-E25)/E25))^-1*LN(((D27-D26)/(E27-D27))/((E26-D26)/(E27-E26)))*LN(D114/(1-D114))+((1-2*E25)*(LN((1-E25)/E25)))^-1*LN((((D27-D26)/(E27-D27))*((E26-D26)/(E27-E26)))/((F26-D26)/(E27-F26))^2)*(D114-0.5)*LN(D114/(1-D114))))^2/((E27-D26)*EXP(LN((F26-D26)/(E27-F26))+(1/2)*(LN((1-E25)/E25))^-1*LN(((D27-D26)/(E27-D27))/((E26-D26)/(E27-E26)))*LN(D114/(1-D114))+((1-2*E25)*(LN((1-E25)/E25)))^-1*LN((((D27-D26)/(E27-D27))*((E26-D26)/(E27-E26)))/((F26-D26)/(E27-F26))^2)*(D114-0.5)*LN(D114/(1-D114)))),NA())))))</f>
        <v>1.6568168673228644E-2</v>
      </c>
      <c r="H114" s="72">
        <v>78</v>
      </c>
      <c r="I114" s="69">
        <f t="shared" si="3"/>
        <v>89.533616604565637</v>
      </c>
      <c r="J114" s="70">
        <f t="shared" si="4"/>
        <v>102</v>
      </c>
      <c r="K114" s="71">
        <f t="shared" si="5"/>
        <v>8.2423082913735005E-4</v>
      </c>
    </row>
    <row r="115" spans="4:11" x14ac:dyDescent="0.35">
      <c r="D115" s="47">
        <f>IF(F27&lt;&gt;"",NA(),(ROW()-ROW(D40))/100)</f>
        <v>0.75</v>
      </c>
      <c r="E115" s="48">
        <f>IF(F27&lt;&gt;"",NA(),IF(F25="u",F26+(1/2)*(LN((1-E25)/E25))^-1*(D27-E26)*LN(D115/(1-D115))+((1-2*E25)*(LN((1-E25)/E25)))^-1*(1-2*(F26-E26)/(D27-E26))*(D27-E26)*(D115-0.5)*LN(D115/(1-D115)),IF(F25="sl",D26+EXP(LN(F26-D26)+(1/2)*(LN((1-E25)/E25))^-1*LN((D27-D26)/(E26-D26))*LN(D115/(1-D115))+((1-2*E25)*(LN((1-E25)/E25)))^-1*LN(((D27-D26)*(E26-D26))/(F26-D26)^2)*(D115-0.5)*LN(D115/(1-D115))),IF(F25="su",E27-EXP(-(-LN(E27-F26)-(1/2)*(LN((1-E25)/E25))^-1*LN((E27-D27)/(E27-E26))*LN(D115/(1-D115))-((1-2*E25)*(LN((1-E25)/E25)))^-1*LN(((E27-D27)*(E27-E26))/(E27-F26)^2)*(D115-0.5)*LN(D115/(1-D115)))),IF(F25="b",(D26+E27*EXP(LN((F26-D26)/(E27-F26))+(1/2)*(LN((1-E25)/E25))^-1*LN(((D27-D26)/(E27-D27))/((E26-D26)/(E27-E26)))*LN(D115/(1-D115))+((1-2*E25)*(LN((1-E25)/E25)))^-1*LN((((D27-D26)/(E27-D27))*((E26-D26)/(E27-E26)))/((F26-D26)/(E27-F26))^2)*(D115-0.5)*LN(D115/(1-D115))))/(1+EXP(LN((F26-D26)/(E27-F26))+(1/2)*(LN((1-E25)/E25))^-1*LN(((D27-D26)/(E27-D27))/((E26-D26)/(E27-E26)))*LN(D115/(1-D115))+((1-2*E25)*(LN((1-E25)/E25)))^-1*LN((((D27-D26)/(E27-D27))*((E26-D26)/(E27-E26)))/((F26-D26)/(E27-F26))^2)*(D115-0.5)*LN(D115/(1-D115)))),NA())))))</f>
        <v>46.5625</v>
      </c>
      <c r="F115" s="49">
        <f>IF(F27&lt;&gt;"",NA(),IF(F25="u",((1/2)*(LN((1-E25)/E25))^-1*(D27-E26)/(D115*(1-D115))+((1-2*E25)*(LN((1-E25)/E25)))^-1*(1-2*(F26-E26)/(D27-E26))*(D27-E26)*((D115-0.5)/(D115*(1-D115))+LN(D115/(1-D115))))^(-1),IF(F25="sl",((1/2)*(LN((1-E25)/E25))^-1*LN((D27-D26)/(E26-D26))/(D115*(1-D115))+((1-2*E25)*(LN((1-E25)/E25)))^-1*LN(((D27-D26)*(E26-D26))/(F26-D26)^2)*((D115-0.5)/(D115*(1-D115))+LN(D115/(1-D115))))^(-1)*EXP(-(LN(F26-D26)+(1/2)*(LN((1-E25)/E25))^-1*LN((D27-D26)/(E26-D26))*LN(D115/(1-D115))+((1-2*E25)*(LN((1-E25)/E25)))^-1*LN(((D27-D26)*(E26-D26))/(F26-D26)^2)*(D115-0.5)*LN(D115/(1-D115)))),IF(F25="su",(-(1/2)*(LN((1-E25)/E25))^-1*LN((E27-D27)/(E27-E26))/(D115*(1-D115))-((1-2*E25)*(LN((1-E25)/E25)))^-1*LN(((E27-D27)*(E27-E26))/(E27-F26)^2)*((D115-0.5)/(D115*(1-D115))+LN(D115/(1-D115))))^(-1)*EXP((-LN(E27-F26)-(1/2)*(LN((1-E25)/E25))^-1*LN((E27-D27)/(E27-E26))*LN(D115/(1-D115))-((1-2*E25)*(LN((1-E25)/E25)))^-1*LN(((E27-D27)*(E27-E26))/(E27-F26)^2)*(D115-0.5)*LN(D115/(1-D115)))),IF(F25="b",((1/2)*(LN((1-E25)/E25))^-1*LN(((D27-D26)/(E27-D27))/((E26-D26)/(E27-E26)))/(D115*(1-D115))+((1-2*E25)*(LN((1-E25)/E25)))^-1*LN((((D27-D26)/(E27-D27))*((E26-D26)/(E27-E26)))/((F26-D26)/(E27-F26))^2)*((D115-0.5)/(D115*(1-D115))+LN(D115/(1-D115))))^(-1)*(1+EXP(LN((F26-D26)/(E27-F26))+(1/2)*(LN((1-E25)/E25))^-1*LN(((D27-D26)/(E27-D27))/((E26-D26)/(E27-E26)))*LN(D115/(1-D115))+((1-2*E25)*(LN((1-E25)/E25)))^-1*LN((((D27-D26)/(E27-D27))*((E26-D26)/(E27-E26)))/((F26-D26)/(E27-F26))^2)*(D115-0.5)*LN(D115/(1-D115))))^2/((E27-D26)*EXP(LN((F26-D26)/(E27-F26))+(1/2)*(LN((1-E25)/E25))^-1*LN(((D27-D26)/(E27-D27))/((E26-D26)/(E27-E26)))*LN(D115/(1-D115))+((1-2*E25)*(LN((1-E25)/E25)))^-1*LN((((D27-D26)/(E27-D27))*((E26-D26)/(E27-E26)))/((F26-D26)/(E27-F26))^2)*(D115-0.5)*LN(D115/(1-D115)))),NA())))))</f>
        <v>1.6030414447539332E-2</v>
      </c>
      <c r="H115" s="72">
        <v>79</v>
      </c>
      <c r="I115" s="69">
        <f t="shared" si="3"/>
        <v>90.803677034508723</v>
      </c>
      <c r="J115" s="70">
        <f t="shared" si="4"/>
        <v>103</v>
      </c>
      <c r="K115" s="71">
        <f t="shared" si="5"/>
        <v>7.5472422928720263E-4</v>
      </c>
    </row>
    <row r="116" spans="4:11" x14ac:dyDescent="0.35">
      <c r="D116" s="47">
        <f>IF(F27&lt;&gt;"",NA(),(ROW()-ROW(D40))/100)</f>
        <v>0.76</v>
      </c>
      <c r="E116" s="48">
        <f>IF(F27&lt;&gt;"",NA(),IF(F25="u",F26+(1/2)*(LN((1-E25)/E25))^-1*(D27-E26)*LN(D116/(1-D116))+((1-2*E25)*(LN((1-E25)/E25)))^-1*(1-2*(F26-E26)/(D27-E26))*(D27-E26)*(D116-0.5)*LN(D116/(1-D116)),IF(F25="sl",D26+EXP(LN(F26-D26)+(1/2)*(LN((1-E25)/E25))^-1*LN((D27-D26)/(E26-D26))*LN(D116/(1-D116))+((1-2*E25)*(LN((1-E25)/E25)))^-1*LN(((D27-D26)*(E26-D26))/(F26-D26)^2)*(D116-0.5)*LN(D116/(1-D116))),IF(F25="su",E27-EXP(-(-LN(E27-F26)-(1/2)*(LN((1-E25)/E25))^-1*LN((E27-D27)/(E27-E26))*LN(D116/(1-D116))-((1-2*E25)*(LN((1-E25)/E25)))^-1*LN(((E27-D27)*(E27-E26))/(E27-F26)^2)*(D116-0.5)*LN(D116/(1-D116)))),IF(F25="b",(D26+E27*EXP(LN((F26-D26)/(E27-F26))+(1/2)*(LN((1-E25)/E25))^-1*LN(((D27-D26)/(E27-D27))/((E26-D26)/(E27-E26)))*LN(D116/(1-D116))+((1-2*E25)*(LN((1-E25)/E25)))^-1*LN((((D27-D26)/(E27-D27))*((E26-D26)/(E27-E26)))/((F26-D26)/(E27-F26))^2)*(D116-0.5)*LN(D116/(1-D116))))/(1+EXP(LN((F26-D26)/(E27-F26))+(1/2)*(LN((1-E25)/E25))^-1*LN(((D27-D26)/(E27-D27))/((E26-D26)/(E27-E26)))*LN(D116/(1-D116))+((1-2*E25)*(LN((1-E25)/E25)))^-1*LN((((D27-D26)/(E27-D27))*((E26-D26)/(E27-E26)))/((F26-D26)/(E27-F26))^2)*(D116-0.5)*LN(D116/(1-D116)))),NA())))))</f>
        <v>47.197113978470917</v>
      </c>
      <c r="F116" s="49">
        <f>IF(F27&lt;&gt;"",NA(),IF(F25="u",((1/2)*(LN((1-E25)/E25))^-1*(D27-E26)/(D116*(1-D116))+((1-2*E25)*(LN((1-E25)/E25)))^-1*(1-2*(F26-E26)/(D27-E26))*(D27-E26)*((D116-0.5)/(D116*(1-D116))+LN(D116/(1-D116))))^(-1),IF(F25="sl",((1/2)*(LN((1-E25)/E25))^-1*LN((D27-D26)/(E26-D26))/(D116*(1-D116))+((1-2*E25)*(LN((1-E25)/E25)))^-1*LN(((D27-D26)*(E26-D26))/(F26-D26)^2)*((D116-0.5)/(D116*(1-D116))+LN(D116/(1-D116))))^(-1)*EXP(-(LN(F26-D26)+(1/2)*(LN((1-E25)/E25))^-1*LN((D27-D26)/(E26-D26))*LN(D116/(1-D116))+((1-2*E25)*(LN((1-E25)/E25)))^-1*LN(((D27-D26)*(E26-D26))/(F26-D26)^2)*(D116-0.5)*LN(D116/(1-D116)))),IF(F25="su",(-(1/2)*(LN((1-E25)/E25))^-1*LN((E27-D27)/(E27-E26))/(D116*(1-D116))-((1-2*E25)*(LN((1-E25)/E25)))^-1*LN(((E27-D27)*(E27-E26))/(E27-F26)^2)*((D116-0.5)/(D116*(1-D116))+LN(D116/(1-D116))))^(-1)*EXP((-LN(E27-F26)-(1/2)*(LN((1-E25)/E25))^-1*LN((E27-D27)/(E27-E26))*LN(D116/(1-D116))-((1-2*E25)*(LN((1-E25)/E25)))^-1*LN(((E27-D27)*(E27-E26))/(E27-F26)^2)*(D116-0.5)*LN(D116/(1-D116)))),IF(F25="b",((1/2)*(LN((1-E25)/E25))^-1*LN(((D27-D26)/(E27-D27))/((E26-D26)/(E27-E26)))/(D116*(1-D116))+((1-2*E25)*(LN((1-E25)/E25)))^-1*LN((((D27-D26)/(E27-D27))*((E26-D26)/(E27-E26)))/((F26-D26)/(E27-F26))^2)*((D116-0.5)/(D116*(1-D116))+LN(D116/(1-D116))))^(-1)*(1+EXP(LN((F26-D26)/(E27-F26))+(1/2)*(LN((1-E25)/E25))^-1*LN(((D27-D26)/(E27-D27))/((E26-D26)/(E27-E26)))*LN(D116/(1-D116))+((1-2*E25)*(LN((1-E25)/E25)))^-1*LN((((D27-D26)/(E27-D27))*((E26-D26)/(E27-E26)))/((F26-D26)/(E27-F26))^2)*(D116-0.5)*LN(D116/(1-D116))))^2/((E27-D26)*EXP(LN((F26-D26)/(E27-F26))+(1/2)*(LN((1-E25)/E25))^-1*LN(((D27-D26)/(E27-D27))/((E26-D26)/(E27-E26)))*LN(D116/(1-D116))+((1-2*E25)*(LN((1-E25)/E25)))^-1*LN((((D27-D26)/(E27-D27))*((E26-D26)/(E27-E26)))/((F26-D26)/(E27-F26))^2)*(D116-0.5)*LN(D116/(1-D116)))),NA())))))</f>
        <v>1.5486980077585427E-2</v>
      </c>
      <c r="H116" s="72">
        <v>80</v>
      </c>
      <c r="I116" s="69">
        <f t="shared" si="3"/>
        <v>92.07373746445181</v>
      </c>
      <c r="J116" s="70">
        <f t="shared" si="4"/>
        <v>103</v>
      </c>
      <c r="K116" s="71">
        <f t="shared" si="5"/>
        <v>6.8927884886968698E-4</v>
      </c>
    </row>
    <row r="117" spans="4:11" x14ac:dyDescent="0.35">
      <c r="D117" s="47">
        <f>IF(F27&lt;&gt;"",NA(),(ROW()-ROW(D40))/100)</f>
        <v>0.77</v>
      </c>
      <c r="E117" s="48">
        <f>IF(F27&lt;&gt;"",NA(),IF(F25="u",F26+(1/2)*(LN((1-E25)/E25))^-1*(D27-E26)*LN(D117/(1-D117))+((1-2*E25)*(LN((1-E25)/E25)))^-1*(1-2*(F26-E26)/(D27-E26))*(D27-E26)*(D117-0.5)*LN(D117/(1-D117)),IF(F25="sl",D26+EXP(LN(F26-D26)+(1/2)*(LN((1-E25)/E25))^-1*LN((D27-D26)/(E26-D26))*LN(D117/(1-D117))+((1-2*E25)*(LN((1-E25)/E25)))^-1*LN(((D27-D26)*(E26-D26))/(F26-D26)^2)*(D117-0.5)*LN(D117/(1-D117))),IF(F25="su",E27-EXP(-(-LN(E27-F26)-(1/2)*(LN((1-E25)/E25))^-1*LN((E27-D27)/(E27-E26))*LN(D117/(1-D117))-((1-2*E25)*(LN((1-E25)/E25)))^-1*LN(((E27-D27)*(E27-E26))/(E27-F26)^2)*(D117-0.5)*LN(D117/(1-D117)))),IF(F25="b",(D26+E27*EXP(LN((F26-D26)/(E27-F26))+(1/2)*(LN((1-E25)/E25))^-1*LN(((D27-D26)/(E27-D27))/((E26-D26)/(E27-E26)))*LN(D117/(1-D117))+((1-2*E25)*(LN((1-E25)/E25)))^-1*LN((((D27-D26)/(E27-D27))*((E26-D26)/(E27-E26)))/((F26-D26)/(E27-F26))^2)*(D117-0.5)*LN(D117/(1-D117))))/(1+EXP(LN((F26-D26)/(E27-F26))+(1/2)*(LN((1-E25)/E25))^-1*LN(((D27-D26)/(E27-D27))/((E26-D26)/(E27-E26)))*LN(D117/(1-D117))+((1-2*E25)*(LN((1-E25)/E25)))^-1*LN((((D27-D26)/(E27-D27))*((E26-D26)/(E27-E26)))/((F26-D26)/(E27-F26))^2)*(D117-0.5)*LN(D117/(1-D117)))),NA())))))</f>
        <v>47.854523260761816</v>
      </c>
      <c r="F117" s="49">
        <f>IF(F27&lt;&gt;"",NA(),IF(F25="u",((1/2)*(LN((1-E25)/E25))^-1*(D27-E26)/(D117*(1-D117))+((1-2*E25)*(LN((1-E25)/E25)))^-1*(1-2*(F26-E26)/(D27-E26))*(D27-E26)*((D117-0.5)/(D117*(1-D117))+LN(D117/(1-D117))))^(-1),IF(F25="sl",((1/2)*(LN((1-E25)/E25))^-1*LN((D27-D26)/(E26-D26))/(D117*(1-D117))+((1-2*E25)*(LN((1-E25)/E25)))^-1*LN(((D27-D26)*(E26-D26))/(F26-D26)^2)*((D117-0.5)/(D117*(1-D117))+LN(D117/(1-D117))))^(-1)*EXP(-(LN(F26-D26)+(1/2)*(LN((1-E25)/E25))^-1*LN((D27-D26)/(E26-D26))*LN(D117/(1-D117))+((1-2*E25)*(LN((1-E25)/E25)))^-1*LN(((D27-D26)*(E26-D26))/(F26-D26)^2)*(D117-0.5)*LN(D117/(1-D117)))),IF(F25="su",(-(1/2)*(LN((1-E25)/E25))^-1*LN((E27-D27)/(E27-E26))/(D117*(1-D117))-((1-2*E25)*(LN((1-E25)/E25)))^-1*LN(((E27-D27)*(E27-E26))/(E27-F26)^2)*((D117-0.5)/(D117*(1-D117))+LN(D117/(1-D117))))^(-1)*EXP((-LN(E27-F26)-(1/2)*(LN((1-E25)/E25))^-1*LN((E27-D27)/(E27-E26))*LN(D117/(1-D117))-((1-2*E25)*(LN((1-E25)/E25)))^-1*LN(((E27-D27)*(E27-E26))/(E27-F26)^2)*(D117-0.5)*LN(D117/(1-D117)))),IF(F25="b",((1/2)*(LN((1-E25)/E25))^-1*LN(((D27-D26)/(E27-D27))/((E26-D26)/(E27-E26)))/(D117*(1-D117))+((1-2*E25)*(LN((1-E25)/E25)))^-1*LN((((D27-D26)/(E27-D27))*((E26-D26)/(E27-E26)))/((F26-D26)/(E27-F26))^2)*((D117-0.5)/(D117*(1-D117))+LN(D117/(1-D117))))^(-1)*(1+EXP(LN((F26-D26)/(E27-F26))+(1/2)*(LN((1-E25)/E25))^-1*LN(((D27-D26)/(E27-D27))/((E26-D26)/(E27-E26)))*LN(D117/(1-D117))+((1-2*E25)*(LN((1-E25)/E25)))^-1*LN((((D27-D26)/(E27-D27))*((E26-D26)/(E27-E26)))/((F26-D26)/(E27-F26))^2)*(D117-0.5)*LN(D117/(1-D117))))^2/((E27-D26)*EXP(LN((F26-D26)/(E27-F26))+(1/2)*(LN((1-E25)/E25))^-1*LN(((D27-D26)/(E27-D27))/((E26-D26)/(E27-E26)))*LN(D117/(1-D117))+((1-2*E25)*(LN((1-E25)/E25)))^-1*LN((((D27-D26)/(E27-D27))*((E26-D26)/(E27-E26)))/((F26-D26)/(E27-F26))^2)*(D117-0.5)*LN(D117/(1-D117)))),NA())))))</f>
        <v>1.4937811223770626E-2</v>
      </c>
      <c r="H117" s="72">
        <v>81</v>
      </c>
      <c r="I117" s="69">
        <f t="shared" si="3"/>
        <v>93.343797894394896</v>
      </c>
      <c r="J117" s="70">
        <f t="shared" si="4"/>
        <v>103</v>
      </c>
      <c r="K117" s="71">
        <f t="shared" si="5"/>
        <v>6.2383346845217144E-4</v>
      </c>
    </row>
    <row r="118" spans="4:11" x14ac:dyDescent="0.35">
      <c r="D118" s="47">
        <f>IF(F27&lt;&gt;"",NA(),(ROW()-ROW(D40))/100)</f>
        <v>0.78</v>
      </c>
      <c r="E118" s="48">
        <f>IF(F27&lt;&gt;"",NA(),IF(F25="u",F26+(1/2)*(LN((1-E25)/E25))^-1*(D27-E26)*LN(D118/(1-D118))+((1-2*E25)*(LN((1-E25)/E25)))^-1*(1-2*(F26-E26)/(D27-E26))*(D27-E26)*(D118-0.5)*LN(D118/(1-D118)),IF(F25="sl",D26+EXP(LN(F26-D26)+(1/2)*(LN((1-E25)/E25))^-1*LN((D27-D26)/(E26-D26))*LN(D118/(1-D118))+((1-2*E25)*(LN((1-E25)/E25)))^-1*LN(((D27-D26)*(E26-D26))/(F26-D26)^2)*(D118-0.5)*LN(D118/(1-D118))),IF(F25="su",E27-EXP(-(-LN(E27-F26)-(1/2)*(LN((1-E25)/E25))^-1*LN((E27-D27)/(E27-E26))*LN(D118/(1-D118))-((1-2*E25)*(LN((1-E25)/E25)))^-1*LN(((E27-D27)*(E27-E26))/(E27-F26)^2)*(D118-0.5)*LN(D118/(1-D118)))),IF(F25="b",(D26+E27*EXP(LN((F26-D26)/(E27-F26))+(1/2)*(LN((1-E25)/E25))^-1*LN(((D27-D26)/(E27-D27))/((E26-D26)/(E27-E26)))*LN(D118/(1-D118))+((1-2*E25)*(LN((1-E25)/E25)))^-1*LN((((D27-D26)/(E27-D27))*((E26-D26)/(E27-E26)))/((F26-D26)/(E27-F26))^2)*(D118-0.5)*LN(D118/(1-D118))))/(1+EXP(LN((F26-D26)/(E27-F26))+(1/2)*(LN((1-E25)/E25))^-1*LN(((D27-D26)/(E27-D27))/((E26-D26)/(E27-E26)))*LN(D118/(1-D118))+((1-2*E25)*(LN((1-E25)/E25)))^-1*LN((((D27-D26)/(E27-D27))*((E26-D26)/(E27-E26)))/((F26-D26)/(E27-F26))^2)*(D118-0.5)*LN(D118/(1-D118)))),NA())))))</f>
        <v>48.536695374736695</v>
      </c>
      <c r="F118" s="49">
        <f>IF(F27&lt;&gt;"",NA(),IF(F25="u",((1/2)*(LN((1-E25)/E25))^-1*(D27-E26)/(D118*(1-D118))+((1-2*E25)*(LN((1-E25)/E25)))^-1*(1-2*(F26-E26)/(D27-E26))*(D27-E26)*((D118-0.5)/(D118*(1-D118))+LN(D118/(1-D118))))^(-1),IF(F25="sl",((1/2)*(LN((1-E25)/E25))^-1*LN((D27-D26)/(E26-D26))/(D118*(1-D118))+((1-2*E25)*(LN((1-E25)/E25)))^-1*LN(((D27-D26)*(E26-D26))/(F26-D26)^2)*((D118-0.5)/(D118*(1-D118))+LN(D118/(1-D118))))^(-1)*EXP(-(LN(F26-D26)+(1/2)*(LN((1-E25)/E25))^-1*LN((D27-D26)/(E26-D26))*LN(D118/(1-D118))+((1-2*E25)*(LN((1-E25)/E25)))^-1*LN(((D27-D26)*(E26-D26))/(F26-D26)^2)*(D118-0.5)*LN(D118/(1-D118)))),IF(F25="su",(-(1/2)*(LN((1-E25)/E25))^-1*LN((E27-D27)/(E27-E26))/(D118*(1-D118))-((1-2*E25)*(LN((1-E25)/E25)))^-1*LN(((E27-D27)*(E27-E26))/(E27-F26)^2)*((D118-0.5)/(D118*(1-D118))+LN(D118/(1-D118))))^(-1)*EXP((-LN(E27-F26)-(1/2)*(LN((1-E25)/E25))^-1*LN((E27-D27)/(E27-E26))*LN(D118/(1-D118))-((1-2*E25)*(LN((1-E25)/E25)))^-1*LN(((E27-D27)*(E27-E26))/(E27-F26)^2)*(D118-0.5)*LN(D118/(1-D118)))),IF(F25="b",((1/2)*(LN((1-E25)/E25))^-1*LN(((D27-D26)/(E27-D27))/((E26-D26)/(E27-E26)))/(D118*(1-D118))+((1-2*E25)*(LN((1-E25)/E25)))^-1*LN((((D27-D26)/(E27-D27))*((E26-D26)/(E27-E26)))/((F26-D26)/(E27-F26))^2)*((D118-0.5)/(D118*(1-D118))+LN(D118/(1-D118))))^(-1)*(1+EXP(LN((F26-D26)/(E27-F26))+(1/2)*(LN((1-E25)/E25))^-1*LN(((D27-D26)/(E27-D27))/((E26-D26)/(E27-E26)))*LN(D118/(1-D118))+((1-2*E25)*(LN((1-E25)/E25)))^-1*LN((((D27-D26)/(E27-D27))*((E26-D26)/(E27-E26)))/((F26-D26)/(E27-F26))^2)*(D118-0.5)*LN(D118/(1-D118))))^2/((E27-D26)*EXP(LN((F26-D26)/(E27-F26))+(1/2)*(LN((1-E25)/E25))^-1*LN(((D27-D26)/(E27-D27))/((E26-D26)/(E27-E26)))*LN(D118/(1-D118))+((1-2*E25)*(LN((1-E25)/E25)))^-1*LN((((D27-D26)/(E27-D27))*((E26-D26)/(E27-E26)))/((F26-D26)/(E27-F26))^2)*(D118-0.5)*LN(D118/(1-D118)))),NA())))))</f>
        <v>1.4382827847822695E-2</v>
      </c>
      <c r="H118" s="72">
        <v>82</v>
      </c>
      <c r="I118" s="69">
        <f t="shared" si="3"/>
        <v>94.613858324337983</v>
      </c>
      <c r="J118" s="70">
        <f t="shared" si="4"/>
        <v>103</v>
      </c>
      <c r="K118" s="71">
        <f t="shared" si="5"/>
        <v>5.5838808803465589E-4</v>
      </c>
    </row>
    <row r="119" spans="4:11" x14ac:dyDescent="0.35">
      <c r="D119" s="47">
        <f>IF(F27&lt;&gt;"",NA(),(ROW()-ROW(D40))/100)</f>
        <v>0.79</v>
      </c>
      <c r="E119" s="48">
        <f>IF(F27&lt;&gt;"",NA(),IF(F25="u",F26+(1/2)*(LN((1-E25)/E25))^-1*(D27-E26)*LN(D119/(1-D119))+((1-2*E25)*(LN((1-E25)/E25)))^-1*(1-2*(F26-E26)/(D27-E26))*(D27-E26)*(D119-0.5)*LN(D119/(1-D119)),IF(F25="sl",D26+EXP(LN(F26-D26)+(1/2)*(LN((1-E25)/E25))^-1*LN((D27-D26)/(E26-D26))*LN(D119/(1-D119))+((1-2*E25)*(LN((1-E25)/E25)))^-1*LN(((D27-D26)*(E26-D26))/(F26-D26)^2)*(D119-0.5)*LN(D119/(1-D119))),IF(F25="su",E27-EXP(-(-LN(E27-F26)-(1/2)*(LN((1-E25)/E25))^-1*LN((E27-D27)/(E27-E26))*LN(D119/(1-D119))-((1-2*E25)*(LN((1-E25)/E25)))^-1*LN(((E27-D27)*(E27-E26))/(E27-F26)^2)*(D119-0.5)*LN(D119/(1-D119)))),IF(F25="b",(D26+E27*EXP(LN((F26-D26)/(E27-F26))+(1/2)*(LN((1-E25)/E25))^-1*LN(((D27-D26)/(E27-D27))/((E26-D26)/(E27-E26)))*LN(D119/(1-D119))+((1-2*E25)*(LN((1-E25)/E25)))^-1*LN((((D27-D26)/(E27-D27))*((E26-D26)/(E27-E26)))/((F26-D26)/(E27-F26))^2)*(D119-0.5)*LN(D119/(1-D119))))/(1+EXP(LN((F26-D26)/(E27-F26))+(1/2)*(LN((1-E25)/E25))^-1*LN(((D27-D26)/(E27-D27))/((E26-D26)/(E27-E26)))*LN(D119/(1-D119))+((1-2*E25)*(LN((1-E25)/E25)))^-1*LN((((D27-D26)/(E27-D27))*((E26-D26)/(E27-E26)))/((F26-D26)/(E27-F26))^2)*(D119-0.5)*LN(D119/(1-D119)))),NA())))))</f>
        <v>49.245864189843253</v>
      </c>
      <c r="F119" s="49">
        <f>IF(F27&lt;&gt;"",NA(),IF(F25="u",((1/2)*(LN((1-E25)/E25))^-1*(D27-E26)/(D119*(1-D119))+((1-2*E25)*(LN((1-E25)/E25)))^-1*(1-2*(F26-E26)/(D27-E26))*(D27-E26)*((D119-0.5)/(D119*(1-D119))+LN(D119/(1-D119))))^(-1),IF(F25="sl",((1/2)*(LN((1-E25)/E25))^-1*LN((D27-D26)/(E26-D26))/(D119*(1-D119))+((1-2*E25)*(LN((1-E25)/E25)))^-1*LN(((D27-D26)*(E26-D26))/(F26-D26)^2)*((D119-0.5)/(D119*(1-D119))+LN(D119/(1-D119))))^(-1)*EXP(-(LN(F26-D26)+(1/2)*(LN((1-E25)/E25))^-1*LN((D27-D26)/(E26-D26))*LN(D119/(1-D119))+((1-2*E25)*(LN((1-E25)/E25)))^-1*LN(((D27-D26)*(E26-D26))/(F26-D26)^2)*(D119-0.5)*LN(D119/(1-D119)))),IF(F25="su",(-(1/2)*(LN((1-E25)/E25))^-1*LN((E27-D27)/(E27-E26))/(D119*(1-D119))-((1-2*E25)*(LN((1-E25)/E25)))^-1*LN(((E27-D27)*(E27-E26))/(E27-F26)^2)*((D119-0.5)/(D119*(1-D119))+LN(D119/(1-D119))))^(-1)*EXP((-LN(E27-F26)-(1/2)*(LN((1-E25)/E25))^-1*LN((E27-D27)/(E27-E26))*LN(D119/(1-D119))-((1-2*E25)*(LN((1-E25)/E25)))^-1*LN(((E27-D27)*(E27-E26))/(E27-F26)^2)*(D119-0.5)*LN(D119/(1-D119)))),IF(F25="b",((1/2)*(LN((1-E25)/E25))^-1*LN(((D27-D26)/(E27-D27))/((E26-D26)/(E27-E26)))/(D119*(1-D119))+((1-2*E25)*(LN((1-E25)/E25)))^-1*LN((((D27-D26)/(E27-D27))*((E26-D26)/(E27-E26)))/((F26-D26)/(E27-F26))^2)*((D119-0.5)/(D119*(1-D119))+LN(D119/(1-D119))))^(-1)*(1+EXP(LN((F26-D26)/(E27-F26))+(1/2)*(LN((1-E25)/E25))^-1*LN(((D27-D26)/(E27-D27))/((E26-D26)/(E27-E26)))*LN(D119/(1-D119))+((1-2*E25)*(LN((1-E25)/E25)))^-1*LN((((D27-D26)/(E27-D27))*((E26-D26)/(E27-E26)))/((F26-D26)/(E27-F26))^2)*(D119-0.5)*LN(D119/(1-D119))))^2/((E27-D26)*EXP(LN((F26-D26)/(E27-F26))+(1/2)*(LN((1-E25)/E25))^-1*LN(((D27-D26)/(E27-D27))/((E26-D26)/(E27-E26)))*LN(D119/(1-D119))+((1-2*E25)*(LN((1-E25)/E25)))^-1*LN((((D27-D26)/(E27-D27))*((E26-D26)/(E27-E26)))/((F26-D26)/(E27-F26))^2)*(D119-0.5)*LN(D119/(1-D119)))),NA())))))</f>
        <v>1.3821923279457093E-2</v>
      </c>
      <c r="H119" s="72">
        <v>83</v>
      </c>
      <c r="I119" s="69">
        <f t="shared" si="3"/>
        <v>95.883918754281069</v>
      </c>
      <c r="J119" s="70">
        <f t="shared" si="4"/>
        <v>104</v>
      </c>
      <c r="K119" s="71">
        <f t="shared" si="5"/>
        <v>4.9316633514593711E-4</v>
      </c>
    </row>
    <row r="120" spans="4:11" x14ac:dyDescent="0.35">
      <c r="D120" s="47">
        <f>IF(F27&lt;&gt;"",NA(),(ROW()-ROW(D40))/100)</f>
        <v>0.8</v>
      </c>
      <c r="E120" s="48">
        <f>IF(F27&lt;&gt;"",NA(),IF(F25="u",F26+(1/2)*(LN((1-E25)/E25))^-1*(D27-E26)*LN(D120/(1-D120))+((1-2*E25)*(LN((1-E25)/E25)))^-1*(1-2*(F26-E26)/(D27-E26))*(D27-E26)*(D120-0.5)*LN(D120/(1-D120)),IF(F25="sl",D26+EXP(LN(F26-D26)+(1/2)*(LN((1-E25)/E25))^-1*LN((D27-D26)/(E26-D26))*LN(D120/(1-D120))+((1-2*E25)*(LN((1-E25)/E25)))^-1*LN(((D27-D26)*(E26-D26))/(F26-D26)^2)*(D120-0.5)*LN(D120/(1-D120))),IF(F25="su",E27-EXP(-(-LN(E27-F26)-(1/2)*(LN((1-E25)/E25))^-1*LN((E27-D27)/(E27-E26))*LN(D120/(1-D120))-((1-2*E25)*(LN((1-E25)/E25)))^-1*LN(((E27-D27)*(E27-E26))/(E27-F26)^2)*(D120-0.5)*LN(D120/(1-D120)))),IF(F25="b",(D26+E27*EXP(LN((F26-D26)/(E27-F26))+(1/2)*(LN((1-E25)/E25))^-1*LN(((D27-D26)/(E27-D27))/((E26-D26)/(E27-E26)))*LN(D120/(1-D120))+((1-2*E25)*(LN((1-E25)/E25)))^-1*LN((((D27-D26)/(E27-D27))*((E26-D26)/(E27-E26)))/((F26-D26)/(E27-F26))^2)*(D120-0.5)*LN(D120/(1-D120))))/(1+EXP(LN((F26-D26)/(E27-F26))+(1/2)*(LN((1-E25)/E25))^-1*LN(((D27-D26)/(E27-D27))/((E26-D26)/(E27-E26)))*LN(D120/(1-D120))+((1-2*E25)*(LN((1-E25)/E25)))^-1*LN((((D27-D26)/(E27-D27))*((E26-D26)/(E27-E26)))/((F26-D26)/(E27-F26))^2)*(D120-0.5)*LN(D120/(1-D120)))),NA())))))</f>
        <v>49.984581647322116</v>
      </c>
      <c r="F120" s="49">
        <f>IF(F27&lt;&gt;"",NA(),IF(F25="u",((1/2)*(LN((1-E25)/E25))^-1*(D27-E26)/(D120*(1-D120))+((1-2*E25)*(LN((1-E25)/E25)))^-1*(1-2*(F26-E26)/(D27-E26))*(D27-E26)*((D120-0.5)/(D120*(1-D120))+LN(D120/(1-D120))))^(-1),IF(F25="sl",((1/2)*(LN((1-E25)/E25))^-1*LN((D27-D26)/(E26-D26))/(D120*(1-D120))+((1-2*E25)*(LN((1-E25)/E25)))^-1*LN(((D27-D26)*(E26-D26))/(F26-D26)^2)*((D120-0.5)/(D120*(1-D120))+LN(D120/(1-D120))))^(-1)*EXP(-(LN(F26-D26)+(1/2)*(LN((1-E25)/E25))^-1*LN((D27-D26)/(E26-D26))*LN(D120/(1-D120))+((1-2*E25)*(LN((1-E25)/E25)))^-1*LN(((D27-D26)*(E26-D26))/(F26-D26)^2)*(D120-0.5)*LN(D120/(1-D120)))),IF(F25="su",(-(1/2)*(LN((1-E25)/E25))^-1*LN((E27-D27)/(E27-E26))/(D120*(1-D120))-((1-2*E25)*(LN((1-E25)/E25)))^-1*LN(((E27-D27)*(E27-E26))/(E27-F26)^2)*((D120-0.5)/(D120*(1-D120))+LN(D120/(1-D120))))^(-1)*EXP((-LN(E27-F26)-(1/2)*(LN((1-E25)/E25))^-1*LN((E27-D27)/(E27-E26))*LN(D120/(1-D120))-((1-2*E25)*(LN((1-E25)/E25)))^-1*LN(((E27-D27)*(E27-E26))/(E27-F26)^2)*(D120-0.5)*LN(D120/(1-D120)))),IF(F25="b",((1/2)*(LN((1-E25)/E25))^-1*LN(((D27-D26)/(E27-D27))/((E26-D26)/(E27-E26)))/(D120*(1-D120))+((1-2*E25)*(LN((1-E25)/E25)))^-1*LN((((D27-D26)/(E27-D27))*((E26-D26)/(E27-E26)))/((F26-D26)/(E27-F26))^2)*((D120-0.5)/(D120*(1-D120))+LN(D120/(1-D120))))^(-1)*(1+EXP(LN((F26-D26)/(E27-F26))+(1/2)*(LN((1-E25)/E25))^-1*LN(((D27-D26)/(E27-D27))/((E26-D26)/(E27-E26)))*LN(D120/(1-D120))+((1-2*E25)*(LN((1-E25)/E25)))^-1*LN((((D27-D26)/(E27-D27))*((E26-D26)/(E27-E26)))/((F26-D26)/(E27-F26))^2)*(D120-0.5)*LN(D120/(1-D120))))^2/((E27-D26)*EXP(LN((F26-D26)/(E27-F26))+(1/2)*(LN((1-E25)/E25))^-1*LN(((D27-D26)/(E27-D27))/((E26-D26)/(E27-E26)))*LN(D120/(1-D120))+((1-2*E25)*(LN((1-E25)/E25)))^-1*LN((((D27-D26)/(E27-D27))*((E26-D26)/(E27-E26)))/((F26-D26)/(E27-F26))^2)*(D120-0.5)*LN(D120/(1-D120)))),NA())))))</f>
        <v>1.3254963007400842E-2</v>
      </c>
      <c r="H120" s="72">
        <v>84</v>
      </c>
      <c r="I120" s="69">
        <f t="shared" si="3"/>
        <v>97.153979184224156</v>
      </c>
      <c r="J120" s="70">
        <f t="shared" si="4"/>
        <v>104</v>
      </c>
      <c r="K120" s="71">
        <f t="shared" si="5"/>
        <v>4.5611895886098832E-4</v>
      </c>
    </row>
    <row r="121" spans="4:11" x14ac:dyDescent="0.35">
      <c r="D121" s="47">
        <f>IF(F27&lt;&gt;"",NA(),(ROW()-ROW(D40))/100)</f>
        <v>0.81</v>
      </c>
      <c r="E121" s="48">
        <f>IF(F27&lt;&gt;"",NA(),IF(F25="u",F26+(1/2)*(LN((1-E25)/E25))^-1*(D27-E26)*LN(D121/(1-D121))+((1-2*E25)*(LN((1-E25)/E25)))^-1*(1-2*(F26-E26)/(D27-E26))*(D27-E26)*(D121-0.5)*LN(D121/(1-D121)),IF(F25="sl",D26+EXP(LN(F26-D26)+(1/2)*(LN((1-E25)/E25))^-1*LN((D27-D26)/(E26-D26))*LN(D121/(1-D121))+((1-2*E25)*(LN((1-E25)/E25)))^-1*LN(((D27-D26)*(E26-D26))/(F26-D26)^2)*(D121-0.5)*LN(D121/(1-D121))),IF(F25="su",E27-EXP(-(-LN(E27-F26)-(1/2)*(LN((1-E25)/E25))^-1*LN((E27-D27)/(E27-E26))*LN(D121/(1-D121))-((1-2*E25)*(LN((1-E25)/E25)))^-1*LN(((E27-D27)*(E27-E26))/(E27-F26)^2)*(D121-0.5)*LN(D121/(1-D121)))),IF(F25="b",(D26+E27*EXP(LN((F26-D26)/(E27-F26))+(1/2)*(LN((1-E25)/E25))^-1*LN(((D27-D26)/(E27-D27))/((E26-D26)/(E27-E26)))*LN(D121/(1-D121))+((1-2*E25)*(LN((1-E25)/E25)))^-1*LN((((D27-D26)/(E27-D27))*((E26-D26)/(E27-E26)))/((F26-D26)/(E27-F26))^2)*(D121-0.5)*LN(D121/(1-D121))))/(1+EXP(LN((F26-D26)/(E27-F26))+(1/2)*(LN((1-E25)/E25))^-1*LN(((D27-D26)/(E27-D27))/((E26-D26)/(E27-E26)))*LN(D121/(1-D121))+((1-2*E25)*(LN((1-E25)/E25)))^-1*LN((((D27-D26)/(E27-D27))*((E26-D26)/(E27-E26)))/((F26-D26)/(E27-F26))^2)*(D121-0.5)*LN(D121/(1-D121)))),NA())))))</f>
        <v>50.755782680246398</v>
      </c>
      <c r="F121" s="49">
        <f>IF(F27&lt;&gt;"",NA(),IF(F25="u",((1/2)*(LN((1-E25)/E25))^-1*(D27-E26)/(D121*(1-D121))+((1-2*E25)*(LN((1-E25)/E25)))^-1*(1-2*(F26-E26)/(D27-E26))*(D27-E26)*((D121-0.5)/(D121*(1-D121))+LN(D121/(1-D121))))^(-1),IF(F25="sl",((1/2)*(LN((1-E25)/E25))^-1*LN((D27-D26)/(E26-D26))/(D121*(1-D121))+((1-2*E25)*(LN((1-E25)/E25)))^-1*LN(((D27-D26)*(E26-D26))/(F26-D26)^2)*((D121-0.5)/(D121*(1-D121))+LN(D121/(1-D121))))^(-1)*EXP(-(LN(F26-D26)+(1/2)*(LN((1-E25)/E25))^-1*LN((D27-D26)/(E26-D26))*LN(D121/(1-D121))+((1-2*E25)*(LN((1-E25)/E25)))^-1*LN(((D27-D26)*(E26-D26))/(F26-D26)^2)*(D121-0.5)*LN(D121/(1-D121)))),IF(F25="su",(-(1/2)*(LN((1-E25)/E25))^-1*LN((E27-D27)/(E27-E26))/(D121*(1-D121))-((1-2*E25)*(LN((1-E25)/E25)))^-1*LN(((E27-D27)*(E27-E26))/(E27-F26)^2)*((D121-0.5)/(D121*(1-D121))+LN(D121/(1-D121))))^(-1)*EXP((-LN(E27-F26)-(1/2)*(LN((1-E25)/E25))^-1*LN((E27-D27)/(E27-E26))*LN(D121/(1-D121))-((1-2*E25)*(LN((1-E25)/E25)))^-1*LN(((E27-D27)*(E27-E26))/(E27-F26)^2)*(D121-0.5)*LN(D121/(1-D121)))),IF(F25="b",((1/2)*(LN((1-E25)/E25))^-1*LN(((D27-D26)/(E27-D27))/((E26-D26)/(E27-E26)))/(D121*(1-D121))+((1-2*E25)*(LN((1-E25)/E25)))^-1*LN((((D27-D26)/(E27-D27))*((E26-D26)/(E27-E26)))/((F26-D26)/(E27-F26))^2)*((D121-0.5)/(D121*(1-D121))+LN(D121/(1-D121))))^(-1)*(1+EXP(LN((F26-D26)/(E27-F26))+(1/2)*(LN((1-E25)/E25))^-1*LN(((D27-D26)/(E27-D27))/((E26-D26)/(E27-E26)))*LN(D121/(1-D121))+((1-2*E25)*(LN((1-E25)/E25)))^-1*LN((((D27-D26)/(E27-D27))*((E26-D26)/(E27-E26)))/((F26-D26)/(E27-F26))^2)*(D121-0.5)*LN(D121/(1-D121))))^2/((E27-D26)*EXP(LN((F26-D26)/(E27-F26))+(1/2)*(LN((1-E25)/E25))^-1*LN(((D27-D26)/(E27-D27))/((E26-D26)/(E27-E26)))*LN(D121/(1-D121))+((1-2*E25)*(LN((1-E25)/E25)))^-1*LN((((D27-D26)/(E27-D27))*((E26-D26)/(E27-E26)))/((F26-D26)/(E27-F26))^2)*(D121-0.5)*LN(D121/(1-D121)))),NA())))))</f>
        <v>1.2681783150478781E-2</v>
      </c>
      <c r="H121" s="72">
        <v>85</v>
      </c>
      <c r="I121" s="69">
        <f t="shared" si="3"/>
        <v>98.424039614167242</v>
      </c>
      <c r="J121" s="70">
        <f t="shared" si="4"/>
        <v>104</v>
      </c>
      <c r="K121" s="71">
        <f t="shared" si="5"/>
        <v>4.1907158257603957E-4</v>
      </c>
    </row>
    <row r="122" spans="4:11" x14ac:dyDescent="0.35">
      <c r="D122" s="47">
        <f>IF(F27&lt;&gt;"",NA(),(ROW()-ROW(D40))/100)</f>
        <v>0.82</v>
      </c>
      <c r="E122" s="48">
        <f>IF(F27&lt;&gt;"",NA(),IF(F25="u",F26+(1/2)*(LN((1-E25)/E25))^-1*(D27-E26)*LN(D122/(1-D122))+((1-2*E25)*(LN((1-E25)/E25)))^-1*(1-2*(F26-E26)/(D27-E26))*(D27-E26)*(D122-0.5)*LN(D122/(1-D122)),IF(F25="sl",D26+EXP(LN(F26-D26)+(1/2)*(LN((1-E25)/E25))^-1*LN((D27-D26)/(E26-D26))*LN(D122/(1-D122))+((1-2*E25)*(LN((1-E25)/E25)))^-1*LN(((D27-D26)*(E26-D26))/(F26-D26)^2)*(D122-0.5)*LN(D122/(1-D122))),IF(F25="su",E27-EXP(-(-LN(E27-F26)-(1/2)*(LN((1-E25)/E25))^-1*LN((E27-D27)/(E27-E26))*LN(D122/(1-D122))-((1-2*E25)*(LN((1-E25)/E25)))^-1*LN(((E27-D27)*(E27-E26))/(E27-F26)^2)*(D122-0.5)*LN(D122/(1-D122)))),IF(F25="b",(D26+E27*EXP(LN((F26-D26)/(E27-F26))+(1/2)*(LN((1-E25)/E25))^-1*LN(((D27-D26)/(E27-D27))/((E26-D26)/(E27-E26)))*LN(D122/(1-D122))+((1-2*E25)*(LN((1-E25)/E25)))^-1*LN((((D27-D26)/(E27-D27))*((E26-D26)/(E27-E26)))/((F26-D26)/(E27-F26))^2)*(D122-0.5)*LN(D122/(1-D122))))/(1+EXP(LN((F26-D26)/(E27-F26))+(1/2)*(LN((1-E25)/E25))^-1*LN(((D27-D26)/(E27-D27))/((E26-D26)/(E27-E26)))*LN(D122/(1-D122))+((1-2*E25)*(LN((1-E25)/E25)))^-1*LN((((D27-D26)/(E27-D27))*((E26-D26)/(E27-E26)))/((F26-D26)/(E27-F26))^2)*(D122-0.5)*LN(D122/(1-D122)))),NA())))))</f>
        <v>51.562867592239463</v>
      </c>
      <c r="F122" s="49">
        <f>IF(F27&lt;&gt;"",NA(),IF(F25="u",((1/2)*(LN((1-E25)/E25))^-1*(D27-E26)/(D122*(1-D122))+((1-2*E25)*(LN((1-E25)/E25)))^-1*(1-2*(F26-E26)/(D27-E26))*(D27-E26)*((D122-0.5)/(D122*(1-D122))+LN(D122/(1-D122))))^(-1),IF(F25="sl",((1/2)*(LN((1-E25)/E25))^-1*LN((D27-D26)/(E26-D26))/(D122*(1-D122))+((1-2*E25)*(LN((1-E25)/E25)))^-1*LN(((D27-D26)*(E26-D26))/(F26-D26)^2)*((D122-0.5)/(D122*(1-D122))+LN(D122/(1-D122))))^(-1)*EXP(-(LN(F26-D26)+(1/2)*(LN((1-E25)/E25))^-1*LN((D27-D26)/(E26-D26))*LN(D122/(1-D122))+((1-2*E25)*(LN((1-E25)/E25)))^-1*LN(((D27-D26)*(E26-D26))/(F26-D26)^2)*(D122-0.5)*LN(D122/(1-D122)))),IF(F25="su",(-(1/2)*(LN((1-E25)/E25))^-1*LN((E27-D27)/(E27-E26))/(D122*(1-D122))-((1-2*E25)*(LN((1-E25)/E25)))^-1*LN(((E27-D27)*(E27-E26))/(E27-F26)^2)*((D122-0.5)/(D122*(1-D122))+LN(D122/(1-D122))))^(-1)*EXP((-LN(E27-F26)-(1/2)*(LN((1-E25)/E25))^-1*LN((E27-D27)/(E27-E26))*LN(D122/(1-D122))-((1-2*E25)*(LN((1-E25)/E25)))^-1*LN(((E27-D27)*(E27-E26))/(E27-F26)^2)*(D122-0.5)*LN(D122/(1-D122)))),IF(F25="b",((1/2)*(LN((1-E25)/E25))^-1*LN(((D27-D26)/(E27-D27))/((E26-D26)/(E27-E26)))/(D122*(1-D122))+((1-2*E25)*(LN((1-E25)/E25)))^-1*LN((((D27-D26)/(E27-D27))*((E26-D26)/(E27-E26)))/((F26-D26)/(E27-F26))^2)*((D122-0.5)/(D122*(1-D122))+LN(D122/(1-D122))))^(-1)*(1+EXP(LN((F26-D26)/(E27-F26))+(1/2)*(LN((1-E25)/E25))^-1*LN(((D27-D26)/(E27-D27))/((E26-D26)/(E27-E26)))*LN(D122/(1-D122))+((1-2*E25)*(LN((1-E25)/E25)))^-1*LN((((D27-D26)/(E27-D27))*((E26-D26)/(E27-E26)))/((F26-D26)/(E27-F26))^2)*(D122-0.5)*LN(D122/(1-D122))))^2/((E27-D26)*EXP(LN((F26-D26)/(E27-F26))+(1/2)*(LN((1-E25)/E25))^-1*LN(((D27-D26)/(E27-D27))/((E26-D26)/(E27-E26)))*LN(D122/(1-D122))+((1-2*E25)*(LN((1-E25)/E25)))^-1*LN((((D27-D26)/(E27-D27))*((E26-D26)/(E27-E26)))/((F26-D26)/(E27-F26))^2)*(D122-0.5)*LN(D122/(1-D122)))),NA())))))</f>
        <v>1.210218855250726E-2</v>
      </c>
      <c r="H122" s="72">
        <v>86</v>
      </c>
      <c r="I122" s="69">
        <f t="shared" si="3"/>
        <v>99.694100044110328</v>
      </c>
      <c r="J122" s="70">
        <f t="shared" si="4"/>
        <v>104</v>
      </c>
      <c r="K122" s="71">
        <f t="shared" si="5"/>
        <v>3.8202420629109083E-4</v>
      </c>
    </row>
    <row r="123" spans="4:11" x14ac:dyDescent="0.35">
      <c r="D123" s="47">
        <f>IF(F27&lt;&gt;"",NA(),(ROW()-ROW(D40))/100)</f>
        <v>0.83</v>
      </c>
      <c r="E123" s="48">
        <f>IF(F27&lt;&gt;"",NA(),IF(F25="u",F26+(1/2)*(LN((1-E25)/E25))^-1*(D27-E26)*LN(D123/(1-D123))+((1-2*E25)*(LN((1-E25)/E25)))^-1*(1-2*(F26-E26)/(D27-E26))*(D27-E26)*(D123-0.5)*LN(D123/(1-D123)),IF(F25="sl",D26+EXP(LN(F26-D26)+(1/2)*(LN((1-E25)/E25))^-1*LN((D27-D26)/(E26-D26))*LN(D123/(1-D123))+((1-2*E25)*(LN((1-E25)/E25)))^-1*LN(((D27-D26)*(E26-D26))/(F26-D26)^2)*(D123-0.5)*LN(D123/(1-D123))),IF(F25="su",E27-EXP(-(-LN(E27-F26)-(1/2)*(LN((1-E25)/E25))^-1*LN((E27-D27)/(E27-E26))*LN(D123/(1-D123))-((1-2*E25)*(LN((1-E25)/E25)))^-1*LN(((E27-D27)*(E27-E26))/(E27-F26)^2)*(D123-0.5)*LN(D123/(1-D123)))),IF(F25="b",(D26+E27*EXP(LN((F26-D26)/(E27-F26))+(1/2)*(LN((1-E25)/E25))^-1*LN(((D27-D26)/(E27-D27))/((E26-D26)/(E27-E26)))*LN(D123/(1-D123))+((1-2*E25)*(LN((1-E25)/E25)))^-1*LN((((D27-D26)/(E27-D27))*((E26-D26)/(E27-E26)))/((F26-D26)/(E27-F26))^2)*(D123-0.5)*LN(D123/(1-D123))))/(1+EXP(LN((F26-D26)/(E27-F26))+(1/2)*(LN((1-E25)/E25))^-1*LN(((D27-D26)/(E27-D27))/((E26-D26)/(E27-E26)))*LN(D123/(1-D123))+((1-2*E25)*(LN((1-E25)/E25)))^-1*LN((((D27-D26)/(E27-D27))*((E26-D26)/(E27-E26)))/((F26-D26)/(E27-F26))^2)*(D123-0.5)*LN(D123/(1-D123)))),NA())))))</f>
        <v>52.409807869577271</v>
      </c>
      <c r="F123" s="49">
        <f>IF(F27&lt;&gt;"",NA(),IF(F25="u",((1/2)*(LN((1-E25)/E25))^-1*(D27-E26)/(D123*(1-D123))+((1-2*E25)*(LN((1-E25)/E25)))^-1*(1-2*(F26-E26)/(D27-E26))*(D27-E26)*((D123-0.5)/(D123*(1-D123))+LN(D123/(1-D123))))^(-1),IF(F25="sl",((1/2)*(LN((1-E25)/E25))^-1*LN((D27-D26)/(E26-D26))/(D123*(1-D123))+((1-2*E25)*(LN((1-E25)/E25)))^-1*LN(((D27-D26)*(E26-D26))/(F26-D26)^2)*((D123-0.5)/(D123*(1-D123))+LN(D123/(1-D123))))^(-1)*EXP(-(LN(F26-D26)+(1/2)*(LN((1-E25)/E25))^-1*LN((D27-D26)/(E26-D26))*LN(D123/(1-D123))+((1-2*E25)*(LN((1-E25)/E25)))^-1*LN(((D27-D26)*(E26-D26))/(F26-D26)^2)*(D123-0.5)*LN(D123/(1-D123)))),IF(F25="su",(-(1/2)*(LN((1-E25)/E25))^-1*LN((E27-D27)/(E27-E26))/(D123*(1-D123))-((1-2*E25)*(LN((1-E25)/E25)))^-1*LN(((E27-D27)*(E27-E26))/(E27-F26)^2)*((D123-0.5)/(D123*(1-D123))+LN(D123/(1-D123))))^(-1)*EXP((-LN(E27-F26)-(1/2)*(LN((1-E25)/E25))^-1*LN((E27-D27)/(E27-E26))*LN(D123/(1-D123))-((1-2*E25)*(LN((1-E25)/E25)))^-1*LN(((E27-D27)*(E27-E26))/(E27-F26)^2)*(D123-0.5)*LN(D123/(1-D123)))),IF(F25="b",((1/2)*(LN((1-E25)/E25))^-1*LN(((D27-D26)/(E27-D27))/((E26-D26)/(E27-E26)))/(D123*(1-D123))+((1-2*E25)*(LN((1-E25)/E25)))^-1*LN((((D27-D26)/(E27-D27))*((E26-D26)/(E27-E26)))/((F26-D26)/(E27-F26))^2)*((D123-0.5)/(D123*(1-D123))+LN(D123/(1-D123))))^(-1)*(1+EXP(LN((F26-D26)/(E27-F26))+(1/2)*(LN((1-E25)/E25))^-1*LN(((D27-D26)/(E27-D27))/((E26-D26)/(E27-E26)))*LN(D123/(1-D123))+((1-2*E25)*(LN((1-E25)/E25)))^-1*LN((((D27-D26)/(E27-D27))*((E26-D26)/(E27-E26)))/((F26-D26)/(E27-F26))^2)*(D123-0.5)*LN(D123/(1-D123))))^2/((E27-D26)*EXP(LN((F26-D26)/(E27-F26))+(1/2)*(LN((1-E25)/E25))^-1*LN(((D27-D26)/(E27-D27))/((E26-D26)/(E27-E26)))*LN(D123/(1-D123))+((1-2*E25)*(LN((1-E25)/E25)))^-1*LN((((D27-D26)/(E27-D27))*((E26-D26)/(E27-E26)))/((F26-D26)/(E27-F26))^2)*(D123-0.5)*LN(D123/(1-D123)))),NA())))))</f>
        <v>1.151595042900075E-2</v>
      </c>
      <c r="H123" s="72">
        <v>87</v>
      </c>
      <c r="I123" s="69">
        <f t="shared" si="3"/>
        <v>100.96416047405341</v>
      </c>
      <c r="J123" s="70">
        <f t="shared" si="4"/>
        <v>104</v>
      </c>
      <c r="K123" s="71">
        <f t="shared" si="5"/>
        <v>3.4497683000614203E-4</v>
      </c>
    </row>
    <row r="124" spans="4:11" x14ac:dyDescent="0.35">
      <c r="D124" s="47">
        <f>IF(F27&lt;&gt;"",NA(),(ROW()-ROW(D40))/100)</f>
        <v>0.84</v>
      </c>
      <c r="E124" s="48">
        <f>IF(F27&lt;&gt;"",NA(),IF(F25="u",F26+(1/2)*(LN((1-E25)/E25))^-1*(D27-E26)*LN(D124/(1-D124))+((1-2*E25)*(LN((1-E25)/E25)))^-1*(1-2*(F26-E26)/(D27-E26))*(D27-E26)*(D124-0.5)*LN(D124/(1-D124)),IF(F25="sl",D26+EXP(LN(F26-D26)+(1/2)*(LN((1-E25)/E25))^-1*LN((D27-D26)/(E26-D26))*LN(D124/(1-D124))+((1-2*E25)*(LN((1-E25)/E25)))^-1*LN(((D27-D26)*(E26-D26))/(F26-D26)^2)*(D124-0.5)*LN(D124/(1-D124))),IF(F25="su",E27-EXP(-(-LN(E27-F26)-(1/2)*(LN((1-E25)/E25))^-1*LN((E27-D27)/(E27-E26))*LN(D124/(1-D124))-((1-2*E25)*(LN((1-E25)/E25)))^-1*LN(((E27-D27)*(E27-E26))/(E27-F26)^2)*(D124-0.5)*LN(D124/(1-D124)))),IF(F25="b",(D26+E27*EXP(LN((F26-D26)/(E27-F26))+(1/2)*(LN((1-E25)/E25))^-1*LN(((D27-D26)/(E27-D27))/((E26-D26)/(E27-E26)))*LN(D124/(1-D124))+((1-2*E25)*(LN((1-E25)/E25)))^-1*LN((((D27-D26)/(E27-D27))*((E26-D26)/(E27-E26)))/((F26-D26)/(E27-F26))^2)*(D124-0.5)*LN(D124/(1-D124))))/(1+EXP(LN((F26-D26)/(E27-F26))+(1/2)*(LN((1-E25)/E25))^-1*LN(((D27-D26)/(E27-D27))/((E26-D26)/(E27-E26)))*LN(D124/(1-D124))+((1-2*E25)*(LN((1-E25)/E25)))^-1*LN((((D27-D26)/(E27-D27))*((E26-D26)/(E27-E26)))/((F26-D26)/(E27-F26))^2)*(D124-0.5)*LN(D124/(1-D124)))),NA())))))</f>
        <v>53.301283934474398</v>
      </c>
      <c r="F124" s="49">
        <f>IF(F27&lt;&gt;"",NA(),IF(F25="u",((1/2)*(LN((1-E25)/E25))^-1*(D27-E26)/(D124*(1-D124))+((1-2*E25)*(LN((1-E25)/E25)))^-1*(1-2*(F26-E26)/(D27-E26))*(D27-E26)*((D124-0.5)/(D124*(1-D124))+LN(D124/(1-D124))))^(-1),IF(F25="sl",((1/2)*(LN((1-E25)/E25))^-1*LN((D27-D26)/(E26-D26))/(D124*(1-D124))+((1-2*E25)*(LN((1-E25)/E25)))^-1*LN(((D27-D26)*(E26-D26))/(F26-D26)^2)*((D124-0.5)/(D124*(1-D124))+LN(D124/(1-D124))))^(-1)*EXP(-(LN(F26-D26)+(1/2)*(LN((1-E25)/E25))^-1*LN((D27-D26)/(E26-D26))*LN(D124/(1-D124))+((1-2*E25)*(LN((1-E25)/E25)))^-1*LN(((D27-D26)*(E26-D26))/(F26-D26)^2)*(D124-0.5)*LN(D124/(1-D124)))),IF(F25="su",(-(1/2)*(LN((1-E25)/E25))^-1*LN((E27-D27)/(E27-E26))/(D124*(1-D124))-((1-2*E25)*(LN((1-E25)/E25)))^-1*LN(((E27-D27)*(E27-E26))/(E27-F26)^2)*((D124-0.5)/(D124*(1-D124))+LN(D124/(1-D124))))^(-1)*EXP((-LN(E27-F26)-(1/2)*(LN((1-E25)/E25))^-1*LN((E27-D27)/(E27-E26))*LN(D124/(1-D124))-((1-2*E25)*(LN((1-E25)/E25)))^-1*LN(((E27-D27)*(E27-E26))/(E27-F26)^2)*(D124-0.5)*LN(D124/(1-D124)))),IF(F25="b",((1/2)*(LN((1-E25)/E25))^-1*LN(((D27-D26)/(E27-D27))/((E26-D26)/(E27-E26)))/(D124*(1-D124))+((1-2*E25)*(LN((1-E25)/E25)))^-1*LN((((D27-D26)/(E27-D27))*((E26-D26)/(E27-E26)))/((F26-D26)/(E27-F26))^2)*((D124-0.5)/(D124*(1-D124))+LN(D124/(1-D124))))^(-1)*(1+EXP(LN((F26-D26)/(E27-F26))+(1/2)*(LN((1-E25)/E25))^-1*LN(((D27-D26)/(E27-D27))/((E26-D26)/(E27-E26)))*LN(D124/(1-D124))+((1-2*E25)*(LN((1-E25)/E25)))^-1*LN((((D27-D26)/(E27-D27))*((E26-D26)/(E27-E26)))/((F26-D26)/(E27-F26))^2)*(D124-0.5)*LN(D124/(1-D124))))^2/((E27-D26)*EXP(LN((F26-D26)/(E27-F26))+(1/2)*(LN((1-E25)/E25))^-1*LN(((D27-D26)/(E27-D27))/((E26-D26)/(E27-E26)))*LN(D124/(1-D124))+((1-2*E25)*(LN((1-E25)/E25)))^-1*LN((((D27-D26)/(E27-D27))*((E26-D26)/(E27-E26)))/((F26-D26)/(E27-F26))^2)*(D124-0.5)*LN(D124/(1-D124)))),NA())))))</f>
        <v>1.0922803472687969E-2</v>
      </c>
      <c r="H124" s="72">
        <v>88</v>
      </c>
      <c r="I124" s="69">
        <f t="shared" si="3"/>
        <v>102.2342209039965</v>
      </c>
      <c r="J124" s="70">
        <f t="shared" si="4"/>
        <v>104</v>
      </c>
      <c r="K124" s="71">
        <f t="shared" si="5"/>
        <v>3.0792945372119329E-4</v>
      </c>
    </row>
    <row r="125" spans="4:11" x14ac:dyDescent="0.35">
      <c r="D125" s="47">
        <f>IF(F27&lt;&gt;"",NA(),(ROW()-ROW(D40))/100)</f>
        <v>0.85</v>
      </c>
      <c r="E125" s="48">
        <f>IF(F27&lt;&gt;"",NA(),IF(F25="u",F26+(1/2)*(LN((1-E25)/E25))^-1*(D27-E26)*LN(D125/(1-D125))+((1-2*E25)*(LN((1-E25)/E25)))^-1*(1-2*(F26-E26)/(D27-E26))*(D27-E26)*(D125-0.5)*LN(D125/(1-D125)),IF(F25="sl",D26+EXP(LN(F26-D26)+(1/2)*(LN((1-E25)/E25))^-1*LN((D27-D26)/(E26-D26))*LN(D125/(1-D125))+((1-2*E25)*(LN((1-E25)/E25)))^-1*LN(((D27-D26)*(E26-D26))/(F26-D26)^2)*(D125-0.5)*LN(D125/(1-D125))),IF(F25="su",E27-EXP(-(-LN(E27-F26)-(1/2)*(LN((1-E25)/E25))^-1*LN((E27-D27)/(E27-E26))*LN(D125/(1-D125))-((1-2*E25)*(LN((1-E25)/E25)))^-1*LN(((E27-D27)*(E27-E26))/(E27-F26)^2)*(D125-0.5)*LN(D125/(1-D125)))),IF(F25="b",(D26+E27*EXP(LN((F26-D26)/(E27-F26))+(1/2)*(LN((1-E25)/E25))^-1*LN(((D27-D26)/(E27-D27))/((E26-D26)/(E27-E26)))*LN(D125/(1-D125))+((1-2*E25)*(LN((1-E25)/E25)))^-1*LN((((D27-D26)/(E27-D27))*((E26-D26)/(E27-E26)))/((F26-D26)/(E27-F26))^2)*(D125-0.5)*LN(D125/(1-D125))))/(1+EXP(LN((F26-D26)/(E27-F26))+(1/2)*(LN((1-E25)/E25))^-1*LN(((D27-D26)/(E27-D27))/((E26-D26)/(E27-E26)))*LN(D125/(1-D125))+((1-2*E25)*(LN((1-E25)/E25)))^-1*LN((((D27-D26)/(E27-D27))*((E26-D26)/(E27-E26)))/((F26-D26)/(E27-F26))^2)*(D125-0.5)*LN(D125/(1-D125)))),NA())))))</f>
        <v>54.242867188543769</v>
      </c>
      <c r="F125" s="49">
        <f>IF(F27&lt;&gt;"",NA(),IF(F25="u",((1/2)*(LN((1-E25)/E25))^-1*(D27-E26)/(D125*(1-D125))+((1-2*E25)*(LN((1-E25)/E25)))^-1*(1-2*(F26-E26)/(D27-E26))*(D27-E26)*((D125-0.5)/(D125*(1-D125))+LN(D125/(1-D125))))^(-1),IF(F25="sl",((1/2)*(LN((1-E25)/E25))^-1*LN((D27-D26)/(E26-D26))/(D125*(1-D125))+((1-2*E25)*(LN((1-E25)/E25)))^-1*LN(((D27-D26)*(E26-D26))/(F26-D26)^2)*((D125-0.5)/(D125*(1-D125))+LN(D125/(1-D125))))^(-1)*EXP(-(LN(F26-D26)+(1/2)*(LN((1-E25)/E25))^-1*LN((D27-D26)/(E26-D26))*LN(D125/(1-D125))+((1-2*E25)*(LN((1-E25)/E25)))^-1*LN(((D27-D26)*(E26-D26))/(F26-D26)^2)*(D125-0.5)*LN(D125/(1-D125)))),IF(F25="su",(-(1/2)*(LN((1-E25)/E25))^-1*LN((E27-D27)/(E27-E26))/(D125*(1-D125))-((1-2*E25)*(LN((1-E25)/E25)))^-1*LN(((E27-D27)*(E27-E26))/(E27-F26)^2)*((D125-0.5)/(D125*(1-D125))+LN(D125/(1-D125))))^(-1)*EXP((-LN(E27-F26)-(1/2)*(LN((1-E25)/E25))^-1*LN((E27-D27)/(E27-E26))*LN(D125/(1-D125))-((1-2*E25)*(LN((1-E25)/E25)))^-1*LN(((E27-D27)*(E27-E26))/(E27-F26)^2)*(D125-0.5)*LN(D125/(1-D125)))),IF(F25="b",((1/2)*(LN((1-E25)/E25))^-1*LN(((D27-D26)/(E27-D27))/((E26-D26)/(E27-E26)))/(D125*(1-D125))+((1-2*E25)*(LN((1-E25)/E25)))^-1*LN((((D27-D26)/(E27-D27))*((E26-D26)/(E27-E26)))/((F26-D26)/(E27-F26))^2)*((D125-0.5)/(D125*(1-D125))+LN(D125/(1-D125))))^(-1)*(1+EXP(LN((F26-D26)/(E27-F26))+(1/2)*(LN((1-E25)/E25))^-1*LN(((D27-D26)/(E27-D27))/((E26-D26)/(E27-E26)))*LN(D125/(1-D125))+((1-2*E25)*(LN((1-E25)/E25)))^-1*LN((((D27-D26)/(E27-D27))*((E26-D26)/(E27-E26)))/((F26-D26)/(E27-F26))^2)*(D125-0.5)*LN(D125/(1-D125))))^2/((E27-D26)*EXP(LN((F26-D26)/(E27-F26))+(1/2)*(LN((1-E25)/E25))^-1*LN(((D27-D26)/(E27-D27))/((E26-D26)/(E27-E26)))*LN(D125/(1-D125))+((1-2*E25)*(LN((1-E25)/E25)))^-1*LN((((D27-D26)/(E27-D27))*((E26-D26)/(E27-E26)))/((F26-D26)/(E27-F26))^2)*(D125-0.5)*LN(D125/(1-D125)))),NA())))))</f>
        <v>1.0322442296356642E-2</v>
      </c>
      <c r="H125" s="72">
        <v>89</v>
      </c>
      <c r="I125" s="69">
        <f t="shared" si="3"/>
        <v>103.50428133393959</v>
      </c>
      <c r="J125" s="70">
        <f t="shared" si="4"/>
        <v>104</v>
      </c>
      <c r="K125" s="71">
        <f t="shared" si="5"/>
        <v>2.7088207743624455E-4</v>
      </c>
    </row>
    <row r="126" spans="4:11" x14ac:dyDescent="0.35">
      <c r="D126" s="47">
        <f>IF(F27&lt;&gt;"",NA(),(ROW()-ROW(D40))/100)</f>
        <v>0.86</v>
      </c>
      <c r="E126" s="48">
        <f>IF(F27&lt;&gt;"",NA(),IF(F25="u",F26+(1/2)*(LN((1-E25)/E25))^-1*(D27-E26)*LN(D126/(1-D126))+((1-2*E25)*(LN((1-E25)/E25)))^-1*(1-2*(F26-E26)/(D27-E26))*(D27-E26)*(D126-0.5)*LN(D126/(1-D126)),IF(F25="sl",D26+EXP(LN(F26-D26)+(1/2)*(LN((1-E25)/E25))^-1*LN((D27-D26)/(E26-D26))*LN(D126/(1-D126))+((1-2*E25)*(LN((1-E25)/E25)))^-1*LN(((D27-D26)*(E26-D26))/(F26-D26)^2)*(D126-0.5)*LN(D126/(1-D126))),IF(F25="su",E27-EXP(-(-LN(E27-F26)-(1/2)*(LN((1-E25)/E25))^-1*LN((E27-D27)/(E27-E26))*LN(D126/(1-D126))-((1-2*E25)*(LN((1-E25)/E25)))^-1*LN(((E27-D27)*(E27-E26))/(E27-F26)^2)*(D126-0.5)*LN(D126/(1-D126)))),IF(F25="b",(D26+E27*EXP(LN((F26-D26)/(E27-F26))+(1/2)*(LN((1-E25)/E25))^-1*LN(((D27-D26)/(E27-D27))/((E26-D26)/(E27-E26)))*LN(D126/(1-D126))+((1-2*E25)*(LN((1-E25)/E25)))^-1*LN((((D27-D26)/(E27-D27))*((E26-D26)/(E27-E26)))/((F26-D26)/(E27-F26))^2)*(D126-0.5)*LN(D126/(1-D126))))/(1+EXP(LN((F26-D26)/(E27-F26))+(1/2)*(LN((1-E25)/E25))^-1*LN(((D27-D26)/(E27-D27))/((E26-D26)/(E27-E26)))*LN(D126/(1-D126))+((1-2*E25)*(LN((1-E25)/E25)))^-1*LN((((D27-D26)/(E27-D27))*((E26-D26)/(E27-E26)))/((F26-D26)/(E27-F26))^2)*(D126-0.5)*LN(D126/(1-D126)))),NA())))))</f>
        <v>55.241264657869145</v>
      </c>
      <c r="F126" s="49">
        <f>IF(F27&lt;&gt;"",NA(),IF(F25="u",((1/2)*(LN((1-E25)/E25))^-1*(D27-E26)/(D126*(1-D126))+((1-2*E25)*(LN((1-E25)/E25)))^-1*(1-2*(F26-E26)/(D27-E26))*(D27-E26)*((D126-0.5)/(D126*(1-D126))+LN(D126/(1-D126))))^(-1),IF(F25="sl",((1/2)*(LN((1-E25)/E25))^-1*LN((D27-D26)/(E26-D26))/(D126*(1-D126))+((1-2*E25)*(LN((1-E25)/E25)))^-1*LN(((D27-D26)*(E26-D26))/(F26-D26)^2)*((D126-0.5)/(D126*(1-D126))+LN(D126/(1-D126))))^(-1)*EXP(-(LN(F26-D26)+(1/2)*(LN((1-E25)/E25))^-1*LN((D27-D26)/(E26-D26))*LN(D126/(1-D126))+((1-2*E25)*(LN((1-E25)/E25)))^-1*LN(((D27-D26)*(E26-D26))/(F26-D26)^2)*(D126-0.5)*LN(D126/(1-D126)))),IF(F25="su",(-(1/2)*(LN((1-E25)/E25))^-1*LN((E27-D27)/(E27-E26))/(D126*(1-D126))-((1-2*E25)*(LN((1-E25)/E25)))^-1*LN(((E27-D27)*(E27-E26))/(E27-F26)^2)*((D126-0.5)/(D126*(1-D126))+LN(D126/(1-D126))))^(-1)*EXP((-LN(E27-F26)-(1/2)*(LN((1-E25)/E25))^-1*LN((E27-D27)/(E27-E26))*LN(D126/(1-D126))-((1-2*E25)*(LN((1-E25)/E25)))^-1*LN(((E27-D27)*(E27-E26))/(E27-F26)^2)*(D126-0.5)*LN(D126/(1-D126)))),IF(F25="b",((1/2)*(LN((1-E25)/E25))^-1*LN(((D27-D26)/(E27-D27))/((E26-D26)/(E27-E26)))/(D126*(1-D126))+((1-2*E25)*(LN((1-E25)/E25)))^-1*LN((((D27-D26)/(E27-D27))*((E26-D26)/(E27-E26)))/((F26-D26)/(E27-F26))^2)*((D126-0.5)/(D126*(1-D126))+LN(D126/(1-D126))))^(-1)*(1+EXP(LN((F26-D26)/(E27-F26))+(1/2)*(LN((1-E25)/E25))^-1*LN(((D27-D26)/(E27-D27))/((E26-D26)/(E27-E26)))*LN(D126/(1-D126))+((1-2*E25)*(LN((1-E25)/E25)))^-1*LN((((D27-D26)/(E27-D27))*((E26-D26)/(E27-E26)))/((F26-D26)/(E27-F26))^2)*(D126-0.5)*LN(D126/(1-D126))))^2/((E27-D26)*EXP(LN((F26-D26)/(E27-F26))+(1/2)*(LN((1-E25)/E25))^-1*LN(((D27-D26)/(E27-D27))/((E26-D26)/(E27-E26)))*LN(D126/(1-D126))+((1-2*E25)*(LN((1-E25)/E25)))^-1*LN((((D27-D26)/(E27-D27))*((E26-D26)/(E27-E26)))/((F26-D26)/(E27-F26))^2)*(D126-0.5)*LN(D126/(1-D126)))),NA())))))</f>
        <v>9.714517052284849E-3</v>
      </c>
      <c r="H126" s="72">
        <v>90</v>
      </c>
      <c r="I126" s="69">
        <f t="shared" si="3"/>
        <v>104.77434176388267</v>
      </c>
      <c r="J126" s="70">
        <f t="shared" si="4"/>
        <v>105</v>
      </c>
      <c r="K126" s="71">
        <f t="shared" si="5"/>
        <v>2.4229902234957742E-4</v>
      </c>
    </row>
    <row r="127" spans="4:11" x14ac:dyDescent="0.35">
      <c r="D127" s="47">
        <f>IF(F27&lt;&gt;"",NA(),(ROW()-ROW(D40))/100)</f>
        <v>0.87</v>
      </c>
      <c r="E127" s="48">
        <f>IF(F27&lt;&gt;"",NA(),IF(F25="u",F26+(1/2)*(LN((1-E25)/E25))^-1*(D27-E26)*LN(D127/(1-D127))+((1-2*E25)*(LN((1-E25)/E25)))^-1*(1-2*(F26-E26)/(D27-E26))*(D27-E26)*(D127-0.5)*LN(D127/(1-D127)),IF(F25="sl",D26+EXP(LN(F26-D26)+(1/2)*(LN((1-E25)/E25))^-1*LN((D27-D26)/(E26-D26))*LN(D127/(1-D127))+((1-2*E25)*(LN((1-E25)/E25)))^-1*LN(((D27-D26)*(E26-D26))/(F26-D26)^2)*(D127-0.5)*LN(D127/(1-D127))),IF(F25="su",E27-EXP(-(-LN(E27-F26)-(1/2)*(LN((1-E25)/E25))^-1*LN((E27-D27)/(E27-E26))*LN(D127/(1-D127))-((1-2*E25)*(LN((1-E25)/E25)))^-1*LN(((E27-D27)*(E27-E26))/(E27-F26)^2)*(D127-0.5)*LN(D127/(1-D127)))),IF(F25="b",(D26+E27*EXP(LN((F26-D26)/(E27-F26))+(1/2)*(LN((1-E25)/E25))^-1*LN(((D27-D26)/(E27-D27))/((E26-D26)/(E27-E26)))*LN(D127/(1-D127))+((1-2*E25)*(LN((1-E25)/E25)))^-1*LN((((D27-D26)/(E27-D27))*((E26-D26)/(E27-E26)))/((F26-D26)/(E27-F26))^2)*(D127-0.5)*LN(D127/(1-D127))))/(1+EXP(LN((F26-D26)/(E27-F26))+(1/2)*(LN((1-E25)/E25))^-1*LN(((D27-D26)/(E27-D27))/((E26-D26)/(E27-E26)))*LN(D127/(1-D127))+((1-2*E25)*(LN((1-E25)/E25)))^-1*LN((((D27-D26)/(E27-D27))*((E26-D26)/(E27-E26)))/((F26-D26)/(E27-F26))^2)*(D127-0.5)*LN(D127/(1-D127)))),NA())))))</f>
        <v>56.304654051853767</v>
      </c>
      <c r="F127" s="49">
        <f>IF(F27&lt;&gt;"",NA(),IF(F25="u",((1/2)*(LN((1-E25)/E25))^-1*(D27-E26)/(D127*(1-D127))+((1-2*E25)*(LN((1-E25)/E25)))^-1*(1-2*(F26-E26)/(D27-E26))*(D27-E26)*((D127-0.5)/(D127*(1-D127))+LN(D127/(1-D127))))^(-1),IF(F25="sl",((1/2)*(LN((1-E25)/E25))^-1*LN((D27-D26)/(E26-D26))/(D127*(1-D127))+((1-2*E25)*(LN((1-E25)/E25)))^-1*LN(((D27-D26)*(E26-D26))/(F26-D26)^2)*((D127-0.5)/(D127*(1-D127))+LN(D127/(1-D127))))^(-1)*EXP(-(LN(F26-D26)+(1/2)*(LN((1-E25)/E25))^-1*LN((D27-D26)/(E26-D26))*LN(D127/(1-D127))+((1-2*E25)*(LN((1-E25)/E25)))^-1*LN(((D27-D26)*(E26-D26))/(F26-D26)^2)*(D127-0.5)*LN(D127/(1-D127)))),IF(F25="su",(-(1/2)*(LN((1-E25)/E25))^-1*LN((E27-D27)/(E27-E26))/(D127*(1-D127))-((1-2*E25)*(LN((1-E25)/E25)))^-1*LN(((E27-D27)*(E27-E26))/(E27-F26)^2)*((D127-0.5)/(D127*(1-D127))+LN(D127/(1-D127))))^(-1)*EXP((-LN(E27-F26)-(1/2)*(LN((1-E25)/E25))^-1*LN((E27-D27)/(E27-E26))*LN(D127/(1-D127))-((1-2*E25)*(LN((1-E25)/E25)))^-1*LN(((E27-D27)*(E27-E26))/(E27-F26)^2)*(D127-0.5)*LN(D127/(1-D127)))),IF(F25="b",((1/2)*(LN((1-E25)/E25))^-1*LN(((D27-D26)/(E27-D27))/((E26-D26)/(E27-E26)))/(D127*(1-D127))+((1-2*E25)*(LN((1-E25)/E25)))^-1*LN((((D27-D26)/(E27-D27))*((E26-D26)/(E27-E26)))/((F26-D26)/(E27-F26))^2)*((D127-0.5)/(D127*(1-D127))+LN(D127/(1-D127))))^(-1)*(1+EXP(LN((F26-D26)/(E27-F26))+(1/2)*(LN((1-E25)/E25))^-1*LN(((D27-D26)/(E27-D27))/((E26-D26)/(E27-E26)))*LN(D127/(1-D127))+((1-2*E25)*(LN((1-E25)/E25)))^-1*LN((((D27-D26)/(E27-D27))*((E26-D26)/(E27-E26)))/((F26-D26)/(E27-F26))^2)*(D127-0.5)*LN(D127/(1-D127))))^2/((E27-D26)*EXP(LN((F26-D26)/(E27-F26))+(1/2)*(LN((1-E25)/E25))^-1*LN(((D27-D26)/(E27-D27))/((E26-D26)/(E27-E26)))*LN(D127/(1-D127))+((1-2*E25)*(LN((1-E25)/E25)))^-1*LN((((D27-D26)/(E27-D27))*((E26-D26)/(E27-E26)))/((F26-D26)/(E27-F26))^2)*(D127-0.5)*LN(D127/(1-D127)))),NA())))))</f>
        <v>9.0986280123499692E-3</v>
      </c>
      <c r="H127" s="72">
        <v>91</v>
      </c>
      <c r="I127" s="69">
        <f t="shared" si="3"/>
        <v>106.04440219382576</v>
      </c>
      <c r="J127" s="70">
        <f t="shared" si="4"/>
        <v>105</v>
      </c>
      <c r="K127" s="71">
        <f t="shared" si="5"/>
        <v>2.2640770223596271E-4</v>
      </c>
    </row>
    <row r="128" spans="4:11" x14ac:dyDescent="0.35">
      <c r="D128" s="47">
        <f>IF(F27&lt;&gt;"",NA(),(ROW()-ROW(D40))/100)</f>
        <v>0.88</v>
      </c>
      <c r="E128" s="48">
        <f>IF(F27&lt;&gt;"",NA(),IF(F25="u",F26+(1/2)*(LN((1-E25)/E25))^-1*(D27-E26)*LN(D128/(1-D128))+((1-2*E25)*(LN((1-E25)/E25)))^-1*(1-2*(F26-E26)/(D27-E26))*(D27-E26)*(D128-0.5)*LN(D128/(1-D128)),IF(F25="sl",D26+EXP(LN(F26-D26)+(1/2)*(LN((1-E25)/E25))^-1*LN((D27-D26)/(E26-D26))*LN(D128/(1-D128))+((1-2*E25)*(LN((1-E25)/E25)))^-1*LN(((D27-D26)*(E26-D26))/(F26-D26)^2)*(D128-0.5)*LN(D128/(1-D128))),IF(F25="su",E27-EXP(-(-LN(E27-F26)-(1/2)*(LN((1-E25)/E25))^-1*LN((E27-D27)/(E27-E26))*LN(D128/(1-D128))-((1-2*E25)*(LN((1-E25)/E25)))^-1*LN(((E27-D27)*(E27-E26))/(E27-F26)^2)*(D128-0.5)*LN(D128/(1-D128)))),IF(F25="b",(D26+E27*EXP(LN((F26-D26)/(E27-F26))+(1/2)*(LN((1-E25)/E25))^-1*LN(((D27-D26)/(E27-D27))/((E26-D26)/(E27-E26)))*LN(D128/(1-D128))+((1-2*E25)*(LN((1-E25)/E25)))^-1*LN((((D27-D26)/(E27-D27))*((E26-D26)/(E27-E26)))/((F26-D26)/(E27-F26))^2)*(D128-0.5)*LN(D128/(1-D128))))/(1+EXP(LN((F26-D26)/(E27-F26))+(1/2)*(LN((1-E25)/E25))^-1*LN(((D27-D26)/(E27-D27))/((E26-D26)/(E27-E26)))*LN(D128/(1-D128))+((1-2*E25)*(LN((1-E25)/E25)))^-1*LN((((D27-D26)/(E27-D27))*((E26-D26)/(E27-E26)))/((F26-D26)/(E27-F26))^2)*(D128-0.5)*LN(D128/(1-D128)))),NA())))))</f>
        <v>57.443152641167998</v>
      </c>
      <c r="F128" s="49">
        <f>IF(F27&lt;&gt;"",NA(),IF(F25="u",((1/2)*(LN((1-E25)/E25))^-1*(D27-E26)/(D128*(1-D128))+((1-2*E25)*(LN((1-E25)/E25)))^-1*(1-2*(F26-E26)/(D27-E26))*(D27-E26)*((D128-0.5)/(D128*(1-D128))+LN(D128/(1-D128))))^(-1),IF(F25="sl",((1/2)*(LN((1-E25)/E25))^-1*LN((D27-D26)/(E26-D26))/(D128*(1-D128))+((1-2*E25)*(LN((1-E25)/E25)))^-1*LN(((D27-D26)*(E26-D26))/(F26-D26)^2)*((D128-0.5)/(D128*(1-D128))+LN(D128/(1-D128))))^(-1)*EXP(-(LN(F26-D26)+(1/2)*(LN((1-E25)/E25))^-1*LN((D27-D26)/(E26-D26))*LN(D128/(1-D128))+((1-2*E25)*(LN((1-E25)/E25)))^-1*LN(((D27-D26)*(E26-D26))/(F26-D26)^2)*(D128-0.5)*LN(D128/(1-D128)))),IF(F25="su",(-(1/2)*(LN((1-E25)/E25))^-1*LN((E27-D27)/(E27-E26))/(D128*(1-D128))-((1-2*E25)*(LN((1-E25)/E25)))^-1*LN(((E27-D27)*(E27-E26))/(E27-F26)^2)*((D128-0.5)/(D128*(1-D128))+LN(D128/(1-D128))))^(-1)*EXP((-LN(E27-F26)-(1/2)*(LN((1-E25)/E25))^-1*LN((E27-D27)/(E27-E26))*LN(D128/(1-D128))-((1-2*E25)*(LN((1-E25)/E25)))^-1*LN(((E27-D27)*(E27-E26))/(E27-F26)^2)*(D128-0.5)*LN(D128/(1-D128)))),IF(F25="b",((1/2)*(LN((1-E25)/E25))^-1*LN(((D27-D26)/(E27-D27))/((E26-D26)/(E27-E26)))/(D128*(1-D128))+((1-2*E25)*(LN((1-E25)/E25)))^-1*LN((((D27-D26)/(E27-D27))*((E26-D26)/(E27-E26)))/((F26-D26)/(E27-F26))^2)*((D128-0.5)/(D128*(1-D128))+LN(D128/(1-D128))))^(-1)*(1+EXP(LN((F26-D26)/(E27-F26))+(1/2)*(LN((1-E25)/E25))^-1*LN(((D27-D26)/(E27-D27))/((E26-D26)/(E27-E26)))*LN(D128/(1-D128))+((1-2*E25)*(LN((1-E25)/E25)))^-1*LN((((D27-D26)/(E27-D27))*((E26-D26)/(E27-E26)))/((F26-D26)/(E27-F26))^2)*(D128-0.5)*LN(D128/(1-D128))))^2/((E27-D26)*EXP(LN((F26-D26)/(E27-F26))+(1/2)*(LN((1-E25)/E25))^-1*LN(((D27-D26)/(E27-D27))/((E26-D26)/(E27-E26)))*LN(D128/(1-D128))+((1-2*E25)*(LN((1-E25)/E25)))^-1*LN((((D27-D26)/(E27-D27))*((E26-D26)/(E27-E26)))/((F26-D26)/(E27-F26))^2)*(D128-0.5)*LN(D128/(1-D128)))),NA())))))</f>
        <v>8.4743188137195238E-3</v>
      </c>
      <c r="H128" s="72">
        <v>92</v>
      </c>
      <c r="I128" s="69">
        <f t="shared" si="3"/>
        <v>107.31446262376885</v>
      </c>
      <c r="J128" s="70">
        <f t="shared" si="4"/>
        <v>105</v>
      </c>
      <c r="K128" s="71">
        <f t="shared" si="5"/>
        <v>2.1051638212234803E-4</v>
      </c>
    </row>
    <row r="129" spans="4:11" x14ac:dyDescent="0.35">
      <c r="D129" s="47">
        <f>IF(F27&lt;&gt;"",NA(),(ROW()-ROW(D40))/100)</f>
        <v>0.89</v>
      </c>
      <c r="E129" s="48">
        <f>IF(F27&lt;&gt;"",NA(),IF(F25="u",F26+(1/2)*(LN((1-E25)/E25))^-1*(D27-E26)*LN(D129/(1-D129))+((1-2*E25)*(LN((1-E25)/E25)))^-1*(1-2*(F26-E26)/(D27-E26))*(D27-E26)*(D129-0.5)*LN(D129/(1-D129)),IF(F25="sl",D26+EXP(LN(F26-D26)+(1/2)*(LN((1-E25)/E25))^-1*LN((D27-D26)/(E26-D26))*LN(D129/(1-D129))+((1-2*E25)*(LN((1-E25)/E25)))^-1*LN(((D27-D26)*(E26-D26))/(F26-D26)^2)*(D129-0.5)*LN(D129/(1-D129))),IF(F25="su",E27-EXP(-(-LN(E27-F26)-(1/2)*(LN((1-E25)/E25))^-1*LN((E27-D27)/(E27-E26))*LN(D129/(1-D129))-((1-2*E25)*(LN((1-E25)/E25)))^-1*LN(((E27-D27)*(E27-E26))/(E27-F26)^2)*(D129-0.5)*LN(D129/(1-D129)))),IF(F25="b",(D26+E27*EXP(LN((F26-D26)/(E27-F26))+(1/2)*(LN((1-E25)/E25))^-1*LN(((D27-D26)/(E27-D27))/((E26-D26)/(E27-E26)))*LN(D129/(1-D129))+((1-2*E25)*(LN((1-E25)/E25)))^-1*LN((((D27-D26)/(E27-D27))*((E26-D26)/(E27-E26)))/((F26-D26)/(E27-F26))^2)*(D129-0.5)*LN(D129/(1-D129))))/(1+EXP(LN((F26-D26)/(E27-F26))+(1/2)*(LN((1-E25)/E25))^-1*LN(((D27-D26)/(E27-D27))/((E26-D26)/(E27-E26)))*LN(D129/(1-D129))+((1-2*E25)*(LN((1-E25)/E25)))^-1*LN((((D27-D26)/(E27-D27))*((E26-D26)/(E27-E26)))/((F26-D26)/(E27-F26))^2)*(D129-0.5)*LN(D129/(1-D129)))),NA())))))</f>
        <v>58.669489829427377</v>
      </c>
      <c r="F129" s="49">
        <f>IF(F27&lt;&gt;"",NA(),IF(F25="u",((1/2)*(LN((1-E25)/E25))^-1*(D27-E26)/(D129*(1-D129))+((1-2*E25)*(LN((1-E25)/E25)))^-1*(1-2*(F26-E26)/(D27-E26))*(D27-E26)*((D129-0.5)/(D129*(1-D129))+LN(D129/(1-D129))))^(-1),IF(F25="sl",((1/2)*(LN((1-E25)/E25))^-1*LN((D27-D26)/(E26-D26))/(D129*(1-D129))+((1-2*E25)*(LN((1-E25)/E25)))^-1*LN(((D27-D26)*(E26-D26))/(F26-D26)^2)*((D129-0.5)/(D129*(1-D129))+LN(D129/(1-D129))))^(-1)*EXP(-(LN(F26-D26)+(1/2)*(LN((1-E25)/E25))^-1*LN((D27-D26)/(E26-D26))*LN(D129/(1-D129))+((1-2*E25)*(LN((1-E25)/E25)))^-1*LN(((D27-D26)*(E26-D26))/(F26-D26)^2)*(D129-0.5)*LN(D129/(1-D129)))),IF(F25="su",(-(1/2)*(LN((1-E25)/E25))^-1*LN((E27-D27)/(E27-E26))/(D129*(1-D129))-((1-2*E25)*(LN((1-E25)/E25)))^-1*LN(((E27-D27)*(E27-E26))/(E27-F26)^2)*((D129-0.5)/(D129*(1-D129))+LN(D129/(1-D129))))^(-1)*EXP((-LN(E27-F26)-(1/2)*(LN((1-E25)/E25))^-1*LN((E27-D27)/(E27-E26))*LN(D129/(1-D129))-((1-2*E25)*(LN((1-E25)/E25)))^-1*LN(((E27-D27)*(E27-E26))/(E27-F26)^2)*(D129-0.5)*LN(D129/(1-D129)))),IF(F25="b",((1/2)*(LN((1-E25)/E25))^-1*LN(((D27-D26)/(E27-D27))/((E26-D26)/(E27-E26)))/(D129*(1-D129))+((1-2*E25)*(LN((1-E25)/E25)))^-1*LN((((D27-D26)/(E27-D27))*((E26-D26)/(E27-E26)))/((F26-D26)/(E27-F26))^2)*((D129-0.5)/(D129*(1-D129))+LN(D129/(1-D129))))^(-1)*(1+EXP(LN((F26-D26)/(E27-F26))+(1/2)*(LN((1-E25)/E25))^-1*LN(((D27-D26)/(E27-D27))/((E26-D26)/(E27-E26)))*LN(D129/(1-D129))+((1-2*E25)*(LN((1-E25)/E25)))^-1*LN((((D27-D26)/(E27-D27))*((E26-D26)/(E27-E26)))/((F26-D26)/(E27-F26))^2)*(D129-0.5)*LN(D129/(1-D129))))^2/((E27-D26)*EXP(LN((F26-D26)/(E27-F26))+(1/2)*(LN((1-E25)/E25))^-1*LN(((D27-D26)/(E27-D27))/((E26-D26)/(E27-E26)))*LN(D129/(1-D129))+((1-2*E25)*(LN((1-E25)/E25)))^-1*LN((((D27-D26)/(E27-D27))*((E26-D26)/(E27-E26)))/((F26-D26)/(E27-F26))^2)*(D129-0.5)*LN(D129/(1-D129)))),NA())))))</f>
        <v>7.8410679585753911E-3</v>
      </c>
      <c r="H129" s="72">
        <v>93</v>
      </c>
      <c r="I129" s="69">
        <f t="shared" si="3"/>
        <v>108.58452305371193</v>
      </c>
      <c r="J129" s="70">
        <f t="shared" si="4"/>
        <v>105</v>
      </c>
      <c r="K129" s="71">
        <f t="shared" si="5"/>
        <v>1.946250620087333E-4</v>
      </c>
    </row>
    <row r="130" spans="4:11" x14ac:dyDescent="0.35">
      <c r="D130" s="47">
        <f>IF(F27&lt;&gt;"",NA(),(ROW()-ROW(D40))/100)</f>
        <v>0.9</v>
      </c>
      <c r="E130" s="48">
        <f>IF(F27&lt;&gt;"",NA(),IF(F25="u",F26+(1/2)*(LN((1-E25)/E25))^-1*(D27-E26)*LN(D130/(1-D130))+((1-2*E25)*(LN((1-E25)/E25)))^-1*(1-2*(F26-E26)/(D27-E26))*(D27-E26)*(D130-0.5)*LN(D130/(1-D130)),IF(F25="sl",D26+EXP(LN(F26-D26)+(1/2)*(LN((1-E25)/E25))^-1*LN((D27-D26)/(E26-D26))*LN(D130/(1-D130))+((1-2*E25)*(LN((1-E25)/E25)))^-1*LN(((D27-D26)*(E26-D26))/(F26-D26)^2)*(D130-0.5)*LN(D130/(1-D130))),IF(F25="su",E27-EXP(-(-LN(E27-F26)-(1/2)*(LN((1-E25)/E25))^-1*LN((E27-D27)/(E27-E26))*LN(D130/(1-D130))-((1-2*E25)*(LN((1-E25)/E25)))^-1*LN(((E27-D27)*(E27-E26))/(E27-F26)^2)*(D130-0.5)*LN(D130/(1-D130)))),IF(F25="b",(D26+E27*EXP(LN((F26-D26)/(E27-F26))+(1/2)*(LN((1-E25)/E25))^-1*LN(((D27-D26)/(E27-D27))/((E26-D26)/(E27-E26)))*LN(D130/(1-D130))+((1-2*E25)*(LN((1-E25)/E25)))^-1*LN((((D27-D26)/(E27-D27))*((E26-D26)/(E27-E26)))/((F26-D26)/(E27-F26))^2)*(D130-0.5)*LN(D130/(1-D130))))/(1+EXP(LN((F26-D26)/(E27-F26))+(1/2)*(LN((1-E25)/E25))^-1*LN(((D27-D26)/(E27-D27))/((E26-D26)/(E27-E26)))*LN(D130/(1-D130))+((1-2*E25)*(LN((1-E25)/E25)))^-1*LN((((D27-D26)/(E27-D27))*((E26-D26)/(E27-E26)))/((F26-D26)/(E27-F26))^2)*(D130-0.5)*LN(D130/(1-D130)))),NA())))))</f>
        <v>60</v>
      </c>
      <c r="F130" s="49">
        <f>IF(F27&lt;&gt;"",NA(),IF(F25="u",((1/2)*(LN((1-E25)/E25))^-1*(D27-E26)/(D130*(1-D130))+((1-2*E25)*(LN((1-E25)/E25)))^-1*(1-2*(F26-E26)/(D27-E26))*(D27-E26)*((D130-0.5)/(D130*(1-D130))+LN(D130/(1-D130))))^(-1),IF(F25="sl",((1/2)*(LN((1-E25)/E25))^-1*LN((D27-D26)/(E26-D26))/(D130*(1-D130))+((1-2*E25)*(LN((1-E25)/E25)))^-1*LN(((D27-D26)*(E26-D26))/(F26-D26)^2)*((D130-0.5)/(D130*(1-D130))+LN(D130/(1-D130))))^(-1)*EXP(-(LN(F26-D26)+(1/2)*(LN((1-E25)/E25))^-1*LN((D27-D26)/(E26-D26))*LN(D130/(1-D130))+((1-2*E25)*(LN((1-E25)/E25)))^-1*LN(((D27-D26)*(E26-D26))/(F26-D26)^2)*(D130-0.5)*LN(D130/(1-D130)))),IF(F25="su",(-(1/2)*(LN((1-E25)/E25))^-1*LN((E27-D27)/(E27-E26))/(D130*(1-D130))-((1-2*E25)*(LN((1-E25)/E25)))^-1*LN(((E27-D27)*(E27-E26))/(E27-F26)^2)*((D130-0.5)/(D130*(1-D130))+LN(D130/(1-D130))))^(-1)*EXP((-LN(E27-F26)-(1/2)*(LN((1-E25)/E25))^-1*LN((E27-D27)/(E27-E26))*LN(D130/(1-D130))-((1-2*E25)*(LN((1-E25)/E25)))^-1*LN(((E27-D27)*(E27-E26))/(E27-F26)^2)*(D130-0.5)*LN(D130/(1-D130)))),IF(F25="b",((1/2)*(LN((1-E25)/E25))^-1*LN(((D27-D26)/(E27-D27))/((E26-D26)/(E27-E26)))/(D130*(1-D130))+((1-2*E25)*(LN((1-E25)/E25)))^-1*LN((((D27-D26)/(E27-D27))*((E26-D26)/(E27-E26)))/((F26-D26)/(E27-F26))^2)*((D130-0.5)/(D130*(1-D130))+LN(D130/(1-D130))))^(-1)*(1+EXP(LN((F26-D26)/(E27-F26))+(1/2)*(LN((1-E25)/E25))^-1*LN(((D27-D26)/(E27-D27))/((E26-D26)/(E27-E26)))*LN(D130/(1-D130))+((1-2*E25)*(LN((1-E25)/E25)))^-1*LN((((D27-D26)/(E27-D27))*((E26-D26)/(E27-E26)))/((F26-D26)/(E27-F26))^2)*(D130-0.5)*LN(D130/(1-D130))))^2/((E27-D26)*EXP(LN((F26-D26)/(E27-F26))+(1/2)*(LN((1-E25)/E25))^-1*LN(((D27-D26)/(E27-D27))/((E26-D26)/(E27-E26)))*LN(D130/(1-D130))+((1-2*E25)*(LN((1-E25)/E25)))^-1*LN((((D27-D26)/(E27-D27))*((E26-D26)/(E27-E26)))/((F26-D26)/(E27-F26))^2)*(D130-0.5)*LN(D130/(1-D130)))),NA())))))</f>
        <v>7.1982779802397499E-3</v>
      </c>
      <c r="H130" s="72">
        <v>94</v>
      </c>
      <c r="I130" s="69">
        <f t="shared" si="3"/>
        <v>109.85458348365502</v>
      </c>
      <c r="J130" s="70">
        <f t="shared" si="4"/>
        <v>105</v>
      </c>
      <c r="K130" s="71">
        <f t="shared" si="5"/>
        <v>1.7873374189511862E-4</v>
      </c>
    </row>
    <row r="131" spans="4:11" x14ac:dyDescent="0.35">
      <c r="D131" s="47">
        <f>IF(F27&lt;&gt;"",NA(),(ROW()-ROW(D40))/100)</f>
        <v>0.91</v>
      </c>
      <c r="E131" s="48">
        <f>IF(F27&lt;&gt;"",NA(),IF(F25="u",F26+(1/2)*(LN((1-E25)/E25))^-1*(D27-E26)*LN(D131/(1-D131))+((1-2*E25)*(LN((1-E25)/E25)))^-1*(1-2*(F26-E26)/(D27-E26))*(D27-E26)*(D131-0.5)*LN(D131/(1-D131)),IF(F25="sl",D26+EXP(LN(F26-D26)+(1/2)*(LN((1-E25)/E25))^-1*LN((D27-D26)/(E26-D26))*LN(D131/(1-D131))+((1-2*E25)*(LN((1-E25)/E25)))^-1*LN(((D27-D26)*(E26-D26))/(F26-D26)^2)*(D131-0.5)*LN(D131/(1-D131))),IF(F25="su",E27-EXP(-(-LN(E27-F26)-(1/2)*(LN((1-E25)/E25))^-1*LN((E27-D27)/(E27-E26))*LN(D131/(1-D131))-((1-2*E25)*(LN((1-E25)/E25)))^-1*LN(((E27-D27)*(E27-E26))/(E27-F26)^2)*(D131-0.5)*LN(D131/(1-D131)))),IF(F25="b",(D26+E27*EXP(LN((F26-D26)/(E27-F26))+(1/2)*(LN((1-E25)/E25))^-1*LN(((D27-D26)/(E27-D27))/((E26-D26)/(E27-E26)))*LN(D131/(1-D131))+((1-2*E25)*(LN((1-E25)/E25)))^-1*LN((((D27-D26)/(E27-D27))*((E26-D26)/(E27-E26)))/((F26-D26)/(E27-F26))^2)*(D131-0.5)*LN(D131/(1-D131))))/(1+EXP(LN((F26-D26)/(E27-F26))+(1/2)*(LN((1-E25)/E25))^-1*LN(((D27-D26)/(E27-D27))/((E26-D26)/(E27-E26)))*LN(D131/(1-D131))+((1-2*E25)*(LN((1-E25)/E25)))^-1*LN((((D27-D26)/(E27-D27))*((E26-D26)/(E27-E26)))/((F26-D26)/(E27-F26))^2)*(D131-0.5)*LN(D131/(1-D131)))),NA())))))</f>
        <v>61.456138437217326</v>
      </c>
      <c r="F131" s="49">
        <f>IF(F27&lt;&gt;"",NA(),IF(F25="u",((1/2)*(LN((1-E25)/E25))^-1*(D27-E26)/(D131*(1-D131))+((1-2*E25)*(LN((1-E25)/E25)))^-1*(1-2*(F26-E26)/(D27-E26))*(D27-E26)*((D131-0.5)/(D131*(1-D131))+LN(D131/(1-D131))))^(-1),IF(F25="sl",((1/2)*(LN((1-E25)/E25))^-1*LN((D27-D26)/(E26-D26))/(D131*(1-D131))+((1-2*E25)*(LN((1-E25)/E25)))^-1*LN(((D27-D26)*(E26-D26))/(F26-D26)^2)*((D131-0.5)/(D131*(1-D131))+LN(D131/(1-D131))))^(-1)*EXP(-(LN(F26-D26)+(1/2)*(LN((1-E25)/E25))^-1*LN((D27-D26)/(E26-D26))*LN(D131/(1-D131))+((1-2*E25)*(LN((1-E25)/E25)))^-1*LN(((D27-D26)*(E26-D26))/(F26-D26)^2)*(D131-0.5)*LN(D131/(1-D131)))),IF(F25="su",(-(1/2)*(LN((1-E25)/E25))^-1*LN((E27-D27)/(E27-E26))/(D131*(1-D131))-((1-2*E25)*(LN((1-E25)/E25)))^-1*LN(((E27-D27)*(E27-E26))/(E27-F26)^2)*((D131-0.5)/(D131*(1-D131))+LN(D131/(1-D131))))^(-1)*EXP((-LN(E27-F26)-(1/2)*(LN((1-E25)/E25))^-1*LN((E27-D27)/(E27-E26))*LN(D131/(1-D131))-((1-2*E25)*(LN((1-E25)/E25)))^-1*LN(((E27-D27)*(E27-E26))/(E27-F26)^2)*(D131-0.5)*LN(D131/(1-D131)))),IF(F25="b",((1/2)*(LN((1-E25)/E25))^-1*LN(((D27-D26)/(E27-D27))/((E26-D26)/(E27-E26)))/(D131*(1-D131))+((1-2*E25)*(LN((1-E25)/E25)))^-1*LN((((D27-D26)/(E27-D27))*((E26-D26)/(E27-E26)))/((F26-D26)/(E27-F26))^2)*((D131-0.5)/(D131*(1-D131))+LN(D131/(1-D131))))^(-1)*(1+EXP(LN((F26-D26)/(E27-F26))+(1/2)*(LN((1-E25)/E25))^-1*LN(((D27-D26)/(E27-D27))/((E26-D26)/(E27-E26)))*LN(D131/(1-D131))+((1-2*E25)*(LN((1-E25)/E25)))^-1*LN((((D27-D26)/(E27-D27))*((E26-D26)/(E27-E26)))/((F26-D26)/(E27-F26))^2)*(D131-0.5)*LN(D131/(1-D131))))^2/((E27-D26)*EXP(LN((F26-D26)/(E27-F26))+(1/2)*(LN((1-E25)/E25))^-1*LN(((D27-D26)/(E27-D27))/((E26-D26)/(E27-E26)))*LN(D131/(1-D131))+((1-2*E25)*(LN((1-E25)/E25)))^-1*LN((((D27-D26)/(E27-D27))*((E26-D26)/(E27-E26)))/((F26-D26)/(E27-F26))^2)*(D131-0.5)*LN(D131/(1-D131)))),NA())))))</f>
        <v>6.545261413095119E-3</v>
      </c>
      <c r="H131" s="72">
        <v>95</v>
      </c>
      <c r="I131" s="69">
        <f t="shared" si="3"/>
        <v>111.12464391359811</v>
      </c>
      <c r="J131" s="70">
        <f t="shared" si="4"/>
        <v>105</v>
      </c>
      <c r="K131" s="71">
        <f t="shared" si="5"/>
        <v>1.6284242178150391E-4</v>
      </c>
    </row>
    <row r="132" spans="4:11" x14ac:dyDescent="0.35">
      <c r="D132" s="47">
        <f>IF(F27&lt;&gt;"",NA(),(ROW()-ROW(D40))/100)</f>
        <v>0.92</v>
      </c>
      <c r="E132" s="48">
        <f>IF(F27&lt;&gt;"",NA(),IF(F25="u",F26+(1/2)*(LN((1-E25)/E25))^-1*(D27-E26)*LN(D132/(1-D132))+((1-2*E25)*(LN((1-E25)/E25)))^-1*(1-2*(F26-E26)/(D27-E26))*(D27-E26)*(D132-0.5)*LN(D132/(1-D132)),IF(F25="sl",D26+EXP(LN(F26-D26)+(1/2)*(LN((1-E25)/E25))^-1*LN((D27-D26)/(E26-D26))*LN(D132/(1-D132))+((1-2*E25)*(LN((1-E25)/E25)))^-1*LN(((D27-D26)*(E26-D26))/(F26-D26)^2)*(D132-0.5)*LN(D132/(1-D132))),IF(F25="su",E27-EXP(-(-LN(E27-F26)-(1/2)*(LN((1-E25)/E25))^-1*LN((E27-D27)/(E27-E26))*LN(D132/(1-D132))-((1-2*E25)*(LN((1-E25)/E25)))^-1*LN(((E27-D27)*(E27-E26))/(E27-F26)^2)*(D132-0.5)*LN(D132/(1-D132)))),IF(F25="b",(D26+E27*EXP(LN((F26-D26)/(E27-F26))+(1/2)*(LN((1-E25)/E25))^-1*LN(((D27-D26)/(E27-D27))/((E26-D26)/(E27-E26)))*LN(D132/(1-D132))+((1-2*E25)*(LN((1-E25)/E25)))^-1*LN((((D27-D26)/(E27-D27))*((E26-D26)/(E27-E26)))/((F26-D26)/(E27-F26))^2)*(D132-0.5)*LN(D132/(1-D132))))/(1+EXP(LN((F26-D26)/(E27-F26))+(1/2)*(LN((1-E25)/E25))^-1*LN(((D27-D26)/(E27-D27))/((E26-D26)/(E27-E26)))*LN(D132/(1-D132))+((1-2*E25)*(LN((1-E25)/E25)))^-1*LN((((D27-D26)/(E27-D27))*((E26-D26)/(E27-E26)))/((F26-D26)/(E27-F26))^2)*(D132-0.5)*LN(D132/(1-D132)))),NA())))))</f>
        <v>63.066890967438781</v>
      </c>
      <c r="F132" s="49">
        <f>IF(F27&lt;&gt;"",NA(),IF(F25="u",((1/2)*(LN((1-E25)/E25))^-1*(D27-E26)/(D132*(1-D132))+((1-2*E25)*(LN((1-E25)/E25)))^-1*(1-2*(F26-E26)/(D27-E26))*(D27-E26)*((D132-0.5)/(D132*(1-D132))+LN(D132/(1-D132))))^(-1),IF(F25="sl",((1/2)*(LN((1-E25)/E25))^-1*LN((D27-D26)/(E26-D26))/(D132*(1-D132))+((1-2*E25)*(LN((1-E25)/E25)))^-1*LN(((D27-D26)*(E26-D26))/(F26-D26)^2)*((D132-0.5)/(D132*(1-D132))+LN(D132/(1-D132))))^(-1)*EXP(-(LN(F26-D26)+(1/2)*(LN((1-E25)/E25))^-1*LN((D27-D26)/(E26-D26))*LN(D132/(1-D132))+((1-2*E25)*(LN((1-E25)/E25)))^-1*LN(((D27-D26)*(E26-D26))/(F26-D26)^2)*(D132-0.5)*LN(D132/(1-D132)))),IF(F25="su",(-(1/2)*(LN((1-E25)/E25))^-1*LN((E27-D27)/(E27-E26))/(D132*(1-D132))-((1-2*E25)*(LN((1-E25)/E25)))^-1*LN(((E27-D27)*(E27-E26))/(E27-F26)^2)*((D132-0.5)/(D132*(1-D132))+LN(D132/(1-D132))))^(-1)*EXP((-LN(E27-F26)-(1/2)*(LN((1-E25)/E25))^-1*LN((E27-D27)/(E27-E26))*LN(D132/(1-D132))-((1-2*E25)*(LN((1-E25)/E25)))^-1*LN(((E27-D27)*(E27-E26))/(E27-F26)^2)*(D132-0.5)*LN(D132/(1-D132)))),IF(F25="b",((1/2)*(LN((1-E25)/E25))^-1*LN(((D27-D26)/(E27-D27))/((E26-D26)/(E27-E26)))/(D132*(1-D132))+((1-2*E25)*(LN((1-E25)/E25)))^-1*LN((((D27-D26)/(E27-D27))*((E26-D26)/(E27-E26)))/((F26-D26)/(E27-F26))^2)*((D132-0.5)/(D132*(1-D132))+LN(D132/(1-D132))))^(-1)*(1+EXP(LN((F26-D26)/(E27-F26))+(1/2)*(LN((1-E25)/E25))^-1*LN(((D27-D26)/(E27-D27))/((E26-D26)/(E27-E26)))*LN(D132/(1-D132))+((1-2*E25)*(LN((1-E25)/E25)))^-1*LN((((D27-D26)/(E27-D27))*((E26-D26)/(E27-E26)))/((F26-D26)/(E27-F26))^2)*(D132-0.5)*LN(D132/(1-D132))))^2/((E27-D26)*EXP(LN((F26-D26)/(E27-F26))+(1/2)*(LN((1-E25)/E25))^-1*LN(((D27-D26)/(E27-D27))/((E26-D26)/(E27-E26)))*LN(D132/(1-D132))+((1-2*E25)*(LN((1-E25)/E25)))^-1*LN((((D27-D26)/(E27-D27))*((E26-D26)/(E27-E26)))/((F26-D26)/(E27-F26))^2)*(D132-0.5)*LN(D132/(1-D132)))),NA())))))</f>
        <v>5.8812222576714521E-3</v>
      </c>
      <c r="H132" s="72">
        <v>96</v>
      </c>
      <c r="I132" s="69">
        <f t="shared" si="3"/>
        <v>112.39470434354119</v>
      </c>
      <c r="J132" s="70">
        <f t="shared" si="4"/>
        <v>105</v>
      </c>
      <c r="K132" s="71">
        <f t="shared" si="5"/>
        <v>1.4695110166788921E-4</v>
      </c>
    </row>
    <row r="133" spans="4:11" x14ac:dyDescent="0.35">
      <c r="D133" s="47">
        <f>IF(F27&lt;&gt;"",NA(),(ROW()-ROW(D40))/100)</f>
        <v>0.93</v>
      </c>
      <c r="E133" s="48">
        <f>IF(F27&lt;&gt;"",NA(),IF(F25="u",F26+(1/2)*(LN((1-E25)/E25))^-1*(D27-E26)*LN(D133/(1-D133))+((1-2*E25)*(LN((1-E25)/E25)))^-1*(1-2*(F26-E26)/(D27-E26))*(D27-E26)*(D133-0.5)*LN(D133/(1-D133)),IF(F25="sl",D26+EXP(LN(F26-D26)+(1/2)*(LN((1-E25)/E25))^-1*LN((D27-D26)/(E26-D26))*LN(D133/(1-D133))+((1-2*E25)*(LN((1-E25)/E25)))^-1*LN(((D27-D26)*(E26-D26))/(F26-D26)^2)*(D133-0.5)*LN(D133/(1-D133))),IF(F25="su",E27-EXP(-(-LN(E27-F26)-(1/2)*(LN((1-E25)/E25))^-1*LN((E27-D27)/(E27-E26))*LN(D133/(1-D133))-((1-2*E25)*(LN((1-E25)/E25)))^-1*LN(((E27-D27)*(E27-E26))/(E27-F26)^2)*(D133-0.5)*LN(D133/(1-D133)))),IF(F25="b",(D26+E27*EXP(LN((F26-D26)/(E27-F26))+(1/2)*(LN((1-E25)/E25))^-1*LN(((D27-D26)/(E27-D27))/((E26-D26)/(E27-E26)))*LN(D133/(1-D133))+((1-2*E25)*(LN((1-E25)/E25)))^-1*LN((((D27-D26)/(E27-D27))*((E26-D26)/(E27-E26)))/((F26-D26)/(E27-F26))^2)*(D133-0.5)*LN(D133/(1-D133))))/(1+EXP(LN((F26-D26)/(E27-F26))+(1/2)*(LN((1-E25)/E25))^-1*LN(((D27-D26)/(E27-D27))/((E26-D26)/(E27-E26)))*LN(D133/(1-D133))+((1-2*E25)*(LN((1-E25)/E25)))^-1*LN((((D27-D26)/(E27-D27))*((E26-D26)/(E27-E26)))/((F26-D26)/(E27-F26))^2)*(D133-0.5)*LN(D133/(1-D133)))),NA())))))</f>
        <v>64.87279624646284</v>
      </c>
      <c r="F133" s="49">
        <f>IF(F27&lt;&gt;"",NA(),IF(F25="u",((1/2)*(LN((1-E25)/E25))^-1*(D27-E26)/(D133*(1-D133))+((1-2*E25)*(LN((1-E25)/E25)))^-1*(1-2*(F26-E26)/(D27-E26))*(D27-E26)*((D133-0.5)/(D133*(1-D133))+LN(D133/(1-D133))))^(-1),IF(F25="sl",((1/2)*(LN((1-E25)/E25))^-1*LN((D27-D26)/(E26-D26))/(D133*(1-D133))+((1-2*E25)*(LN((1-E25)/E25)))^-1*LN(((D27-D26)*(E26-D26))/(F26-D26)^2)*((D133-0.5)/(D133*(1-D133))+LN(D133/(1-D133))))^(-1)*EXP(-(LN(F26-D26)+(1/2)*(LN((1-E25)/E25))^-1*LN((D27-D26)/(E26-D26))*LN(D133/(1-D133))+((1-2*E25)*(LN((1-E25)/E25)))^-1*LN(((D27-D26)*(E26-D26))/(F26-D26)^2)*(D133-0.5)*LN(D133/(1-D133)))),IF(F25="su",(-(1/2)*(LN((1-E25)/E25))^-1*LN((E27-D27)/(E27-E26))/(D133*(1-D133))-((1-2*E25)*(LN((1-E25)/E25)))^-1*LN(((E27-D27)*(E27-E26))/(E27-F26)^2)*((D133-0.5)/(D133*(1-D133))+LN(D133/(1-D133))))^(-1)*EXP((-LN(E27-F26)-(1/2)*(LN((1-E25)/E25))^-1*LN((E27-D27)/(E27-E26))*LN(D133/(1-D133))-((1-2*E25)*(LN((1-E25)/E25)))^-1*LN(((E27-D27)*(E27-E26))/(E27-F26)^2)*(D133-0.5)*LN(D133/(1-D133)))),IF(F25="b",((1/2)*(LN((1-E25)/E25))^-1*LN(((D27-D26)/(E27-D27))/((E26-D26)/(E27-E26)))/(D133*(1-D133))+((1-2*E25)*(LN((1-E25)/E25)))^-1*LN((((D27-D26)/(E27-D27))*((E26-D26)/(E27-E26)))/((F26-D26)/(E27-F26))^2)*((D133-0.5)/(D133*(1-D133))+LN(D133/(1-D133))))^(-1)*(1+EXP(LN((F26-D26)/(E27-F26))+(1/2)*(LN((1-E25)/E25))^-1*LN(((D27-D26)/(E27-D27))/((E26-D26)/(E27-E26)))*LN(D133/(1-D133))+((1-2*E25)*(LN((1-E25)/E25)))^-1*LN((((D27-D26)/(E27-D27))*((E26-D26)/(E27-E26)))/((F26-D26)/(E27-F26))^2)*(D133-0.5)*LN(D133/(1-D133))))^2/((E27-D26)*EXP(LN((F26-D26)/(E27-F26))+(1/2)*(LN((1-E25)/E25))^-1*LN(((D27-D26)/(E27-D27))/((E26-D26)/(E27-E26)))*LN(D133/(1-D133))+((1-2*E25)*(LN((1-E25)/E25)))^-1*LN((((D27-D26)/(E27-D27))*((E26-D26)/(E27-E26)))/((F26-D26)/(E27-F26))^2)*(D133-0.5)*LN(D133/(1-D133)))),NA())))))</f>
        <v>5.2052308752400141E-3</v>
      </c>
      <c r="H133" s="72">
        <v>97</v>
      </c>
      <c r="I133" s="69">
        <f t="shared" si="3"/>
        <v>113.66476477348428</v>
      </c>
      <c r="J133" s="70">
        <f t="shared" si="4"/>
        <v>105</v>
      </c>
      <c r="K133" s="71">
        <f t="shared" si="5"/>
        <v>1.3105978155427447E-4</v>
      </c>
    </row>
    <row r="134" spans="4:11" x14ac:dyDescent="0.35">
      <c r="D134" s="47">
        <f>IF(F27&lt;&gt;"",NA(),(ROW()-ROW(D40))/100)</f>
        <v>0.94</v>
      </c>
      <c r="E134" s="48">
        <f>IF(F27&lt;&gt;"",NA(),IF(F25="u",F26+(1/2)*(LN((1-E25)/E25))^-1*(D27-E26)*LN(D134/(1-D134))+((1-2*E25)*(LN((1-E25)/E25)))^-1*(1-2*(F26-E26)/(D27-E26))*(D27-E26)*(D134-0.5)*LN(D134/(1-D134)),IF(F25="sl",D26+EXP(LN(F26-D26)+(1/2)*(LN((1-E25)/E25))^-1*LN((D27-D26)/(E26-D26))*LN(D134/(1-D134))+((1-2*E25)*(LN((1-E25)/E25)))^-1*LN(((D27-D26)*(E26-D26))/(F26-D26)^2)*(D134-0.5)*LN(D134/(1-D134))),IF(F25="su",E27-EXP(-(-LN(E27-F26)-(1/2)*(LN((1-E25)/E25))^-1*LN((E27-D27)/(E27-E26))*LN(D134/(1-D134))-((1-2*E25)*(LN((1-E25)/E25)))^-1*LN(((E27-D27)*(E27-E26))/(E27-F26)^2)*(D134-0.5)*LN(D134/(1-D134)))),IF(F25="b",(D26+E27*EXP(LN((F26-D26)/(E27-F26))+(1/2)*(LN((1-E25)/E25))^-1*LN(((D27-D26)/(E27-D27))/((E26-D26)/(E27-E26)))*LN(D134/(1-D134))+((1-2*E25)*(LN((1-E25)/E25)))^-1*LN((((D27-D26)/(E27-D27))*((E26-D26)/(E27-E26)))/((F26-D26)/(E27-F26))^2)*(D134-0.5)*LN(D134/(1-D134))))/(1+EXP(LN((F26-D26)/(E27-F26))+(1/2)*(LN((1-E25)/E25))^-1*LN(((D27-D26)/(E27-D27))/((E26-D26)/(E27-E26)))*LN(D134/(1-D134))+((1-2*E25)*(LN((1-E25)/E25)))^-1*LN((((D27-D26)/(E27-D27))*((E26-D26)/(E27-E26)))/((F26-D26)/(E27-F26))^2)*(D134-0.5)*LN(D134/(1-D134)))),NA())))))</f>
        <v>66.933081036091622</v>
      </c>
      <c r="F134" s="49">
        <f>IF(F27&lt;&gt;"",NA(),IF(F25="u",((1/2)*(LN((1-E25)/E25))^-1*(D27-E26)/(D134*(1-D134))+((1-2*E25)*(LN((1-E25)/E25)))^-1*(1-2*(F26-E26)/(D27-E26))*(D27-E26)*((D134-0.5)/(D134*(1-D134))+LN(D134/(1-D134))))^(-1),IF(F25="sl",((1/2)*(LN((1-E25)/E25))^-1*LN((D27-D26)/(E26-D26))/(D134*(1-D134))+((1-2*E25)*(LN((1-E25)/E25)))^-1*LN(((D27-D26)*(E26-D26))/(F26-D26)^2)*((D134-0.5)/(D134*(1-D134))+LN(D134/(1-D134))))^(-1)*EXP(-(LN(F26-D26)+(1/2)*(LN((1-E25)/E25))^-1*LN((D27-D26)/(E26-D26))*LN(D134/(1-D134))+((1-2*E25)*(LN((1-E25)/E25)))^-1*LN(((D27-D26)*(E26-D26))/(F26-D26)^2)*(D134-0.5)*LN(D134/(1-D134)))),IF(F25="su",(-(1/2)*(LN((1-E25)/E25))^-1*LN((E27-D27)/(E27-E26))/(D134*(1-D134))-((1-2*E25)*(LN((1-E25)/E25)))^-1*LN(((E27-D27)*(E27-E26))/(E27-F26)^2)*((D134-0.5)/(D134*(1-D134))+LN(D134/(1-D134))))^(-1)*EXP((-LN(E27-F26)-(1/2)*(LN((1-E25)/E25))^-1*LN((E27-D27)/(E27-E26))*LN(D134/(1-D134))-((1-2*E25)*(LN((1-E25)/E25)))^-1*LN(((E27-D27)*(E27-E26))/(E27-F26)^2)*(D134-0.5)*LN(D134/(1-D134)))),IF(F25="b",((1/2)*(LN((1-E25)/E25))^-1*LN(((D27-D26)/(E27-D27))/((E26-D26)/(E27-E26)))/(D134*(1-D134))+((1-2*E25)*(LN((1-E25)/E25)))^-1*LN((((D27-D26)/(E27-D27))*((E26-D26)/(E27-E26)))/((F26-D26)/(E27-F26))^2)*((D134-0.5)/(D134*(1-D134))+LN(D134/(1-D134))))^(-1)*(1+EXP(LN((F26-D26)/(E27-F26))+(1/2)*(LN((1-E25)/E25))^-1*LN(((D27-D26)/(E27-D27))/((E26-D26)/(E27-E26)))*LN(D134/(1-D134))+((1-2*E25)*(LN((1-E25)/E25)))^-1*LN((((D27-D26)/(E27-D27))*((E26-D26)/(E27-E26)))/((F26-D26)/(E27-F26))^2)*(D134-0.5)*LN(D134/(1-D134))))^2/((E27-D26)*EXP(LN((F26-D26)/(E27-F26))+(1/2)*(LN((1-E25)/E25))^-1*LN(((D27-D26)/(E27-D27))/((E26-D26)/(E27-E26)))*LN(D134/(1-D134))+((1-2*E25)*(LN((1-E25)/E25)))^-1*LN((((D27-D26)/(E27-D27))*((E26-D26)/(E27-E26)))/((F26-D26)/(E27-F26))^2)*(D134-0.5)*LN(D134/(1-D134)))),NA())))))</f>
        <v>4.5161888882822411E-3</v>
      </c>
      <c r="H134" s="72">
        <v>98</v>
      </c>
      <c r="I134" s="69">
        <f t="shared" si="3"/>
        <v>114.93482520342737</v>
      </c>
      <c r="J134" s="70">
        <f t="shared" si="4"/>
        <v>105</v>
      </c>
      <c r="K134" s="71">
        <f t="shared" si="5"/>
        <v>1.1516846144065979E-4</v>
      </c>
    </row>
    <row r="135" spans="4:11" x14ac:dyDescent="0.35">
      <c r="D135" s="47">
        <f>IF(F27&lt;&gt;"",NA(),(ROW()-ROW(D40))/100)</f>
        <v>0.95</v>
      </c>
      <c r="E135" s="48">
        <f>IF(F27&lt;&gt;"",NA(),IF(F25="u",F26+(1/2)*(LN((1-E25)/E25))^-1*(D27-E26)*LN(D135/(1-D135))+((1-2*E25)*(LN((1-E25)/E25)))^-1*(1-2*(F26-E26)/(D27-E26))*(D27-E26)*(D135-0.5)*LN(D135/(1-D135)),IF(F25="sl",D26+EXP(LN(F26-D26)+(1/2)*(LN((1-E25)/E25))^-1*LN((D27-D26)/(E26-D26))*LN(D135/(1-D135))+((1-2*E25)*(LN((1-E25)/E25)))^-1*LN(((D27-D26)*(E26-D26))/(F26-D26)^2)*(D135-0.5)*LN(D135/(1-D135))),IF(F25="su",E27-EXP(-(-LN(E27-F26)-(1/2)*(LN((1-E25)/E25))^-1*LN((E27-D27)/(E27-E26))*LN(D135/(1-D135))-((1-2*E25)*(LN((1-E25)/E25)))^-1*LN(((E27-D27)*(E27-E26))/(E27-F26)^2)*(D135-0.5)*LN(D135/(1-D135)))),IF(F25="b",(D26+E27*EXP(LN((F26-D26)/(E27-F26))+(1/2)*(LN((1-E25)/E25))^-1*LN(((D27-D26)/(E27-D27))/((E26-D26)/(E27-E26)))*LN(D135/(1-D135))+((1-2*E25)*(LN((1-E25)/E25)))^-1*LN((((D27-D26)/(E27-D27))*((E26-D26)/(E27-E26)))/((F26-D26)/(E27-F26))^2)*(D135-0.5)*LN(D135/(1-D135))))/(1+EXP(LN((F26-D26)/(E27-F26))+(1/2)*(LN((1-E25)/E25))^-1*LN(((D27-D26)/(E27-D27))/((E26-D26)/(E27-E26)))*LN(D135/(1-D135))+((1-2*E25)*(LN((1-E25)/E25)))^-1*LN((((D27-D26)/(E27-D27))*((E26-D26)/(E27-E26)))/((F26-D26)/(E27-F26))^2)*(D135-0.5)*LN(D135/(1-D135)))),NA())))))</f>
        <v>69.339343196594172</v>
      </c>
      <c r="F135" s="49">
        <f>IF(F27&lt;&gt;"",NA(),IF(F25="u",((1/2)*(LN((1-E25)/E25))^-1*(D27-E26)/(D135*(1-D135))+((1-2*E25)*(LN((1-E25)/E25)))^-1*(1-2*(F26-E26)/(D27-E26))*(D27-E26)*((D135-0.5)/(D135*(1-D135))+LN(D135/(1-D135))))^(-1),IF(F25="sl",((1/2)*(LN((1-E25)/E25))^-1*LN((D27-D26)/(E26-D26))/(D135*(1-D135))+((1-2*E25)*(LN((1-E25)/E25)))^-1*LN(((D27-D26)*(E26-D26))/(F26-D26)^2)*((D135-0.5)/(D135*(1-D135))+LN(D135/(1-D135))))^(-1)*EXP(-(LN(F26-D26)+(1/2)*(LN((1-E25)/E25))^-1*LN((D27-D26)/(E26-D26))*LN(D135/(1-D135))+((1-2*E25)*(LN((1-E25)/E25)))^-1*LN(((D27-D26)*(E26-D26))/(F26-D26)^2)*(D135-0.5)*LN(D135/(1-D135)))),IF(F25="su",(-(1/2)*(LN((1-E25)/E25))^-1*LN((E27-D27)/(E27-E26))/(D135*(1-D135))-((1-2*E25)*(LN((1-E25)/E25)))^-1*LN(((E27-D27)*(E27-E26))/(E27-F26)^2)*((D135-0.5)/(D135*(1-D135))+LN(D135/(1-D135))))^(-1)*EXP((-LN(E27-F26)-(1/2)*(LN((1-E25)/E25))^-1*LN((E27-D27)/(E27-E26))*LN(D135/(1-D135))-((1-2*E25)*(LN((1-E25)/E25)))^-1*LN(((E27-D27)*(E27-E26))/(E27-F26)^2)*(D135-0.5)*LN(D135/(1-D135)))),IF(F25="b",((1/2)*(LN((1-E25)/E25))^-1*LN(((D27-D26)/(E27-D27))/((E26-D26)/(E27-E26)))/(D135*(1-D135))+((1-2*E25)*(LN((1-E25)/E25)))^-1*LN((((D27-D26)/(E27-D27))*((E26-D26)/(E27-E26)))/((F26-D26)/(E27-F26))^2)*((D135-0.5)/(D135*(1-D135))+LN(D135/(1-D135))))^(-1)*(1+EXP(LN((F26-D26)/(E27-F26))+(1/2)*(LN((1-E25)/E25))^-1*LN(((D27-D26)/(E27-D27))/((E26-D26)/(E27-E26)))*LN(D135/(1-D135))+((1-2*E25)*(LN((1-E25)/E25)))^-1*LN((((D27-D26)/(E27-D27))*((E26-D26)/(E27-E26)))/((F26-D26)/(E27-F26))^2)*(D135-0.5)*LN(D135/(1-D135))))^2/((E27-D26)*EXP(LN((F26-D26)/(E27-F26))+(1/2)*(LN((1-E25)/E25))^-1*LN(((D27-D26)/(E27-D27))/((E26-D26)/(E27-E26)))*LN(D135/(1-D135))+((1-2*E25)*(LN((1-E25)/E25)))^-1*LN((((D27-D26)/(E27-D27))*((E26-D26)/(E27-E26)))/((F26-D26)/(E27-F26))^2)*(D135-0.5)*LN(D135/(1-D135)))),NA())))))</f>
        <v>3.8127780530524576E-3</v>
      </c>
      <c r="H135" s="72">
        <v>99</v>
      </c>
      <c r="I135" s="69">
        <f t="shared" si="3"/>
        <v>116.20488563337045</v>
      </c>
      <c r="J135" s="70">
        <f t="shared" si="4"/>
        <v>105</v>
      </c>
      <c r="K135" s="71">
        <f t="shared" si="5"/>
        <v>9.9277141327045056E-5</v>
      </c>
    </row>
    <row r="136" spans="4:11" x14ac:dyDescent="0.35">
      <c r="D136" s="47">
        <f>IF(F27&lt;&gt;"",NA(),(ROW()-ROW(D40))/100)</f>
        <v>0.96</v>
      </c>
      <c r="E136" s="48">
        <f>IF(F27&lt;&gt;"",NA(),IF(F25="u",F26+(1/2)*(LN((1-E25)/E25))^-1*(D27-E26)*LN(D136/(1-D136))+((1-2*E25)*(LN((1-E25)/E25)))^-1*(1-2*(F26-E26)/(D27-E26))*(D27-E26)*(D136-0.5)*LN(D136/(1-D136)),IF(F25="sl",D26+EXP(LN(F26-D26)+(1/2)*(LN((1-E25)/E25))^-1*LN((D27-D26)/(E26-D26))*LN(D136/(1-D136))+((1-2*E25)*(LN((1-E25)/E25)))^-1*LN(((D27-D26)*(E26-D26))/(F26-D26)^2)*(D136-0.5)*LN(D136/(1-D136))),IF(F25="su",E27-EXP(-(-LN(E27-F26)-(1/2)*(LN((1-E25)/E25))^-1*LN((E27-D27)/(E27-E26))*LN(D136/(1-D136))-((1-2*E25)*(LN((1-E25)/E25)))^-1*LN(((E27-D27)*(E27-E26))/(E27-F26)^2)*(D136-0.5)*LN(D136/(1-D136)))),IF(F25="b",(D26+E27*EXP(LN((F26-D26)/(E27-F26))+(1/2)*(LN((1-E25)/E25))^-1*LN(((D27-D26)/(E27-D27))/((E26-D26)/(E27-E26)))*LN(D136/(1-D136))+((1-2*E25)*(LN((1-E25)/E25)))^-1*LN((((D27-D26)/(E27-D27))*((E26-D26)/(E27-E26)))/((F26-D26)/(E27-F26))^2)*(D136-0.5)*LN(D136/(1-D136))))/(1+EXP(LN((F26-D26)/(E27-F26))+(1/2)*(LN((1-E25)/E25))^-1*LN(((D27-D26)/(E27-D27))/((E26-D26)/(E27-E26)))*LN(D136/(1-D136))+((1-2*E25)*(LN((1-E25)/E25)))^-1*LN((((D27-D26)/(E27-D27))*((E26-D26)/(E27-E26)))/((F26-D26)/(E27-F26))^2)*(D136-0.5)*LN(D136/(1-D136)))),NA())))))</f>
        <v>72.244661731697533</v>
      </c>
      <c r="F136" s="49">
        <f>IF(F27&lt;&gt;"",NA(),IF(F25="u",((1/2)*(LN((1-E25)/E25))^-1*(D27-E26)/(D136*(1-D136))+((1-2*E25)*(LN((1-E25)/E25)))^-1*(1-2*(F26-E26)/(D27-E26))*(D27-E26)*((D136-0.5)/(D136*(1-D136))+LN(D136/(1-D136))))^(-1),IF(F25="sl",((1/2)*(LN((1-E25)/E25))^-1*LN((D27-D26)/(E26-D26))/(D136*(1-D136))+((1-2*E25)*(LN((1-E25)/E25)))^-1*LN(((D27-D26)*(E26-D26))/(F26-D26)^2)*((D136-0.5)/(D136*(1-D136))+LN(D136/(1-D136))))^(-1)*EXP(-(LN(F26-D26)+(1/2)*(LN((1-E25)/E25))^-1*LN((D27-D26)/(E26-D26))*LN(D136/(1-D136))+((1-2*E25)*(LN((1-E25)/E25)))^-1*LN(((D27-D26)*(E26-D26))/(F26-D26)^2)*(D136-0.5)*LN(D136/(1-D136)))),IF(F25="su",(-(1/2)*(LN((1-E25)/E25))^-1*LN((E27-D27)/(E27-E26))/(D136*(1-D136))-((1-2*E25)*(LN((1-E25)/E25)))^-1*LN(((E27-D27)*(E27-E26))/(E27-F26)^2)*((D136-0.5)/(D136*(1-D136))+LN(D136/(1-D136))))^(-1)*EXP((-LN(E27-F26)-(1/2)*(LN((1-E25)/E25))^-1*LN((E27-D27)/(E27-E26))*LN(D136/(1-D136))-((1-2*E25)*(LN((1-E25)/E25)))^-1*LN(((E27-D27)*(E27-E26))/(E27-F26)^2)*(D136-0.5)*LN(D136/(1-D136)))),IF(F25="b",((1/2)*(LN((1-E25)/E25))^-1*LN(((D27-D26)/(E27-D27))/((E26-D26)/(E27-E26)))/(D136*(1-D136))+((1-2*E25)*(LN((1-E25)/E25)))^-1*LN((((D27-D26)/(E27-D27))*((E26-D26)/(E27-E26)))/((F26-D26)/(E27-F26))^2)*((D136-0.5)/(D136*(1-D136))+LN(D136/(1-D136))))^(-1)*(1+EXP(LN((F26-D26)/(E27-F26))+(1/2)*(LN((1-E25)/E25))^-1*LN(((D27-D26)/(E27-D27))/((E26-D26)/(E27-E26)))*LN(D136/(1-D136))+((1-2*E25)*(LN((1-E25)/E25)))^-1*LN((((D27-D26)/(E27-D27))*((E26-D26)/(E27-E26)))/((F26-D26)/(E27-F26))^2)*(D136-0.5)*LN(D136/(1-D136))))^2/((E27-D26)*EXP(LN((F26-D26)/(E27-F26))+(1/2)*(LN((1-E25)/E25))^-1*LN(((D27-D26)/(E27-D27))/((E26-D26)/(E27-E26)))*LN(D136/(1-D136))+((1-2*E25)*(LN((1-E25)/E25)))^-1*LN((((D27-D26)/(E27-D27))*((E26-D26)/(E27-E26)))/((F26-D26)/(E27-F26))^2)*(D136-0.5)*LN(D136/(1-D136)))),NA())))))</f>
        <v>3.0933815858209253E-3</v>
      </c>
      <c r="H136" s="72">
        <v>100</v>
      </c>
      <c r="I136" s="69">
        <f t="shared" si="3"/>
        <v>117.47494606331354</v>
      </c>
      <c r="J136" s="70">
        <f t="shared" si="4"/>
        <v>106</v>
      </c>
      <c r="K136" s="71">
        <f>IF( ISNUMBER( E143 ), F143, F142 )</f>
        <v>8.3385821213431433E-5</v>
      </c>
    </row>
    <row r="137" spans="4:11" x14ac:dyDescent="0.35">
      <c r="D137" s="47">
        <f>IF(F27&lt;&gt;"",NA(),(ROW()-ROW(D40))/100)</f>
        <v>0.97</v>
      </c>
      <c r="E137" s="48">
        <f>IF(F27&lt;&gt;"",NA(),IF(F25="u",F26+(1/2)*(LN((1-E25)/E25))^-1*(D27-E26)*LN(D137/(1-D137))+((1-2*E25)*(LN((1-E25)/E25)))^-1*(1-2*(F26-E26)/(D27-E26))*(D27-E26)*(D137-0.5)*LN(D137/(1-D137)),IF(F25="sl",D26+EXP(LN(F26-D26)+(1/2)*(LN((1-E25)/E25))^-1*LN((D27-D26)/(E26-D26))*LN(D137/(1-D137))+((1-2*E25)*(LN((1-E25)/E25)))^-1*LN(((D27-D26)*(E26-D26))/(F26-D26)^2)*(D137-0.5)*LN(D137/(1-D137))),IF(F25="su",E27-EXP(-(-LN(E27-F26)-(1/2)*(LN((1-E25)/E25))^-1*LN((E27-D27)/(E27-E26))*LN(D137/(1-D137))-((1-2*E25)*(LN((1-E25)/E25)))^-1*LN(((E27-D27)*(E27-E26))/(E27-F26)^2)*(D137-0.5)*LN(D137/(1-D137)))),IF(F25="b",(D26+E27*EXP(LN((F26-D26)/(E27-F26))+(1/2)*(LN((1-E25)/E25))^-1*LN(((D27-D26)/(E27-D27))/((E26-D26)/(E27-E26)))*LN(D137/(1-D137))+((1-2*E25)*(LN((1-E25)/E25)))^-1*LN((((D27-D26)/(E27-D27))*((E26-D26)/(E27-E26)))/((F26-D26)/(E27-F26))^2)*(D137-0.5)*LN(D137/(1-D137))))/(1+EXP(LN((F26-D26)/(E27-F26))+(1/2)*(LN((1-E25)/E25))^-1*LN(((D27-D26)/(E27-D27))/((E26-D26)/(E27-E26)))*LN(D137/(1-D137))+((1-2*E25)*(LN((1-E25)/E25)))^-1*LN((((D27-D26)/(E27-D27))*((E26-D26)/(E27-E26)))/((F26-D26)/(E27-F26))^2)*(D137-0.5)*LN(D137/(1-D137)))),NA())))))</f>
        <v>75.93530289404022</v>
      </c>
      <c r="F137" s="49">
        <f>IF(F27&lt;&gt;"",NA(),IF(F25="u",((1/2)*(LN((1-E25)/E25))^-1*(D27-E26)/(D137*(1-D137))+((1-2*E25)*(LN((1-E25)/E25)))^-1*(1-2*(F26-E26)/(D27-E26))*(D27-E26)*((D137-0.5)/(D137*(1-D137))+LN(D137/(1-D137))))^(-1),IF(F25="sl",((1/2)*(LN((1-E25)/E25))^-1*LN((D27-D26)/(E26-D26))/(D137*(1-D137))+((1-2*E25)*(LN((1-E25)/E25)))^-1*LN(((D27-D26)*(E26-D26))/(F26-D26)^2)*((D137-0.5)/(D137*(1-D137))+LN(D137/(1-D137))))^(-1)*EXP(-(LN(F26-D26)+(1/2)*(LN((1-E25)/E25))^-1*LN((D27-D26)/(E26-D26))*LN(D137/(1-D137))+((1-2*E25)*(LN((1-E25)/E25)))^-1*LN(((D27-D26)*(E26-D26))/(F26-D26)^2)*(D137-0.5)*LN(D137/(1-D137)))),IF(F25="su",(-(1/2)*(LN((1-E25)/E25))^-1*LN((E27-D27)/(E27-E26))/(D137*(1-D137))-((1-2*E25)*(LN((1-E25)/E25)))^-1*LN(((E27-D27)*(E27-E26))/(E27-F26)^2)*((D137-0.5)/(D137*(1-D137))+LN(D137/(1-D137))))^(-1)*EXP((-LN(E27-F26)-(1/2)*(LN((1-E25)/E25))^-1*LN((E27-D27)/(E27-E26))*LN(D137/(1-D137))-((1-2*E25)*(LN((1-E25)/E25)))^-1*LN(((E27-D27)*(E27-E26))/(E27-F26)^2)*(D137-0.5)*LN(D137/(1-D137)))),IF(F25="b",((1/2)*(LN((1-E25)/E25))^-1*LN(((D27-D26)/(E27-D27))/((E26-D26)/(E27-E26)))/(D137*(1-D137))+((1-2*E25)*(LN((1-E25)/E25)))^-1*LN((((D27-D26)/(E27-D27))*((E26-D26)/(E27-E26)))/((F26-D26)/(E27-F26))^2)*((D137-0.5)/(D137*(1-D137))+LN(D137/(1-D137))))^(-1)*(1+EXP(LN((F26-D26)/(E27-F26))+(1/2)*(LN((1-E25)/E25))^-1*LN(((D27-D26)/(E27-D27))/((E26-D26)/(E27-E26)))*LN(D137/(1-D137))+((1-2*E25)*(LN((1-E25)/E25)))^-1*LN((((D27-D26)/(E27-D27))*((E26-D26)/(E27-E26)))/((F26-D26)/(E27-F26))^2)*(D137-0.5)*LN(D137/(1-D137))))^2/((E27-D26)*EXP(LN((F26-D26)/(E27-F26))+(1/2)*(LN((1-E25)/E25))^-1*LN(((D27-D26)/(E27-D27))/((E26-D26)/(E27-E26)))*LN(D137/(1-D137))+((1-2*E25)*(LN((1-E25)/E25)))^-1*LN((((D27-D26)/(E27-D27))*((E26-D26)/(E27-E26)))/((F26-D26)/(E27-F26))^2)*(D137-0.5)*LN(D137/(1-D137)))),NA())))))</f>
        <v>2.3559534258394705E-3</v>
      </c>
      <c r="H137" s="72">
        <v>101</v>
      </c>
      <c r="I137" s="73"/>
      <c r="J137" s="74"/>
      <c r="K137" s="75"/>
    </row>
    <row r="138" spans="4:11" x14ac:dyDescent="0.35">
      <c r="D138" s="47">
        <f>IF(F27&lt;&gt;"",NA(),(ROW()-ROW(D40))/100)</f>
        <v>0.98</v>
      </c>
      <c r="E138" s="48">
        <f>IF(F27&lt;&gt;"",NA(),IF(F25="u",F26+(1/2)*(LN((1-E25)/E25))^-1*(D27-E26)*LN(D138/(1-D138))+((1-2*E25)*(LN((1-E25)/E25)))^-1*(1-2*(F26-E26)/(D27-E26))*(D27-E26)*(D138-0.5)*LN(D138/(1-D138)),IF(F25="sl",D26+EXP(LN(F26-D26)+(1/2)*(LN((1-E25)/E25))^-1*LN((D27-D26)/(E26-D26))*LN(D138/(1-D138))+((1-2*E25)*(LN((1-E25)/E25)))^-1*LN(((D27-D26)*(E26-D26))/(F26-D26)^2)*(D138-0.5)*LN(D138/(1-D138))),IF(F25="su",E27-EXP(-(-LN(E27-F26)-(1/2)*(LN((1-E25)/E25))^-1*LN((E27-D27)/(E27-E26))*LN(D138/(1-D138))-((1-2*E25)*(LN((1-E25)/E25)))^-1*LN(((E27-D27)*(E27-E26))/(E27-F26)^2)*(D138-0.5)*LN(D138/(1-D138)))),IF(F25="b",(D26+E27*EXP(LN((F26-D26)/(E27-F26))+(1/2)*(LN((1-E25)/E25))^-1*LN(((D27-D26)/(E27-D27))/((E26-D26)/(E27-E26)))*LN(D138/(1-D138))+((1-2*E25)*(LN((1-E25)/E25)))^-1*LN((((D27-D26)/(E27-D27))*((E26-D26)/(E27-E26)))/((F26-D26)/(E27-F26))^2)*(D138-0.5)*LN(D138/(1-D138))))/(1+EXP(LN((F26-D26)/(E27-F26))+(1/2)*(LN((1-E25)/E25))^-1*LN(((D27-D26)/(E27-D27))/((E26-D26)/(E27-E26)))*LN(D138/(1-D138))+((1-2*E25)*(LN((1-E25)/E25)))^-1*LN((((D27-D26)/(E27-D27))*((E26-D26)/(E27-E26)))/((F26-D26)/(E27-F26))^2)*(D138-0.5)*LN(D138/(1-D138)))),NA())))))</f>
        <v>81.052337478196947</v>
      </c>
      <c r="F138" s="49">
        <f>IF(F27&lt;&gt;"",NA(),IF(F25="u",((1/2)*(LN((1-E25)/E25))^-1*(D27-E26)/(D138*(1-D138))+((1-2*E25)*(LN((1-E25)/E25)))^-1*(1-2*(F26-E26)/(D27-E26))*(D27-E26)*((D138-0.5)/(D138*(1-D138))+LN(D138/(1-D138))))^(-1),IF(F25="sl",((1/2)*(LN((1-E25)/E25))^-1*LN((D27-D26)/(E26-D26))/(D138*(1-D138))+((1-2*E25)*(LN((1-E25)/E25)))^-1*LN(((D27-D26)*(E26-D26))/(F26-D26)^2)*((D138-0.5)/(D138*(1-D138))+LN(D138/(1-D138))))^(-1)*EXP(-(LN(F26-D26)+(1/2)*(LN((1-E25)/E25))^-1*LN((D27-D26)/(E26-D26))*LN(D138/(1-D138))+((1-2*E25)*(LN((1-E25)/E25)))^-1*LN(((D27-D26)*(E26-D26))/(F26-D26)^2)*(D138-0.5)*LN(D138/(1-D138)))),IF(F25="su",(-(1/2)*(LN((1-E25)/E25))^-1*LN((E27-D27)/(E27-E26))/(D138*(1-D138))-((1-2*E25)*(LN((1-E25)/E25)))^-1*LN(((E27-D27)*(E27-E26))/(E27-F26)^2)*((D138-0.5)/(D138*(1-D138))+LN(D138/(1-D138))))^(-1)*EXP((-LN(E27-F26)-(1/2)*(LN((1-E25)/E25))^-1*LN((E27-D27)/(E27-E26))*LN(D138/(1-D138))-((1-2*E25)*(LN((1-E25)/E25)))^-1*LN(((E27-D27)*(E27-E26))/(E27-F26)^2)*(D138-0.5)*LN(D138/(1-D138)))),IF(F25="b",((1/2)*(LN((1-E25)/E25))^-1*LN(((D27-D26)/(E27-D27))/((E26-D26)/(E27-E26)))/(D138*(1-D138))+((1-2*E25)*(LN((1-E25)/E25)))^-1*LN((((D27-D26)/(E27-D27))*((E26-D26)/(E27-E26)))/((F26-D26)/(E27-F26))^2)*((D138-0.5)/(D138*(1-D138))+LN(D138/(1-D138))))^(-1)*(1+EXP(LN((F26-D26)/(E27-F26))+(1/2)*(LN((1-E25)/E25))^-1*LN(((D27-D26)/(E27-D27))/((E26-D26)/(E27-E26)))*LN(D138/(1-D138))+((1-2*E25)*(LN((1-E25)/E25)))^-1*LN((((D27-D26)/(E27-D27))*((E26-D26)/(E27-E26)))/((F26-D26)/(E27-F26))^2)*(D138-0.5)*LN(D138/(1-D138))))^2/((E27-D26)*EXP(LN((F26-D26)/(E27-F26))+(1/2)*(LN((1-E25)/E25))^-1*LN(((D27-D26)/(E27-D27))/((E26-D26)/(E27-E26)))*LN(D138/(1-D138))+((1-2*E25)*(LN((1-E25)/E25)))^-1*LN((((D27-D26)/(E27-D27))*((E26-D26)/(E27-E26)))/((F26-D26)/(E27-F26))^2)*(D138-0.5)*LN(D138/(1-D138)))),NA())))))</f>
        <v>1.5977742463860927E-3</v>
      </c>
      <c r="H138" s="72">
        <v>102</v>
      </c>
      <c r="I138" s="76"/>
      <c r="J138" s="77"/>
      <c r="K138" s="78"/>
    </row>
    <row r="139" spans="4:11" x14ac:dyDescent="0.35">
      <c r="D139" s="47">
        <f>IF(F27&lt;&gt;"",NA(),(ROW()-ROW(D40))/100)</f>
        <v>0.99</v>
      </c>
      <c r="E139" s="48">
        <f>IF(F27&lt;&gt;"",NA(),IF(F25="u",F26+(1/2)*(LN((1-E25)/E25))^-1*(D27-E26)*LN(D139/(1-D139))+((1-2*E25)*(LN((1-E25)/E25)))^-1*(1-2*(F26-E26)/(D27-E26))*(D27-E26)*(D139-0.5)*LN(D139/(1-D139)),IF(F25="sl",D26+EXP(LN(F26-D26)+(1/2)*(LN((1-E25)/E25))^-1*LN((D27-D26)/(E26-D26))*LN(D139/(1-D139))+((1-2*E25)*(LN((1-E25)/E25)))^-1*LN(((D27-D26)*(E26-D26))/(F26-D26)^2)*(D139-0.5)*LN(D139/(1-D139))),IF(F25="su",E27-EXP(-(-LN(E27-F26)-(1/2)*(LN((1-E25)/E25))^-1*LN((E27-D27)/(E27-E26))*LN(D139/(1-D139))-((1-2*E25)*(LN((1-E25)/E25)))^-1*LN(((E27-D27)*(E27-E26))/(E27-F26)^2)*(D139-0.5)*LN(D139/(1-D139)))),IF(F25="b",(D26+E27*EXP(LN((F26-D26)/(E27-F26))+(1/2)*(LN((1-E25)/E25))^-1*LN(((D27-D26)/(E27-D27))/((E26-D26)/(E27-E26)))*LN(D139/(1-D139))+((1-2*E25)*(LN((1-E25)/E25)))^-1*LN((((D27-D26)/(E27-D27))*((E26-D26)/(E27-E26)))/((F26-D26)/(E27-F26))^2)*(D139-0.5)*LN(D139/(1-D139))))/(1+EXP(LN((F26-D26)/(E27-F26))+(1/2)*(LN((1-E25)/E25))^-1*LN(((D27-D26)/(E27-D27))/((E26-D26)/(E27-E26)))*LN(D139/(1-D139))+((1-2*E25)*(LN((1-E25)/E25)))^-1*LN((((D27-D26)/(E27-D27))*((E26-D26)/(E27-E26)))/((F26-D26)/(E27-F26))^2)*(D139-0.5)*LN(D139/(1-D139)))),NA())))))</f>
        <v>89.635974548539039</v>
      </c>
      <c r="F139" s="49">
        <f>IF(F27&lt;&gt;"",NA(),IF(F25="u",((1/2)*(LN((1-E25)/E25))^-1*(D27-E26)/(D139*(1-D139))+((1-2*E25)*(LN((1-E25)/E25)))^-1*(1-2*(F26-E26)/(D27-E26))*(D27-E26)*((D139-0.5)/(D139*(1-D139))+LN(D139/(1-D139))))^(-1),IF(F25="sl",((1/2)*(LN((1-E25)/E25))^-1*LN((D27-D26)/(E26-D26))/(D139*(1-D139))+((1-2*E25)*(LN((1-E25)/E25)))^-1*LN(((D27-D26)*(E26-D26))/(F26-D26)^2)*((D139-0.5)/(D139*(1-D139))+LN(D139/(1-D139))))^(-1)*EXP(-(LN(F26-D26)+(1/2)*(LN((1-E25)/E25))^-1*LN((D27-D26)/(E26-D26))*LN(D139/(1-D139))+((1-2*E25)*(LN((1-E25)/E25)))^-1*LN(((D27-D26)*(E26-D26))/(F26-D26)^2)*(D139-0.5)*LN(D139/(1-D139)))),IF(F25="su",(-(1/2)*(LN((1-E25)/E25))^-1*LN((E27-D27)/(E27-E26))/(D139*(1-D139))-((1-2*E25)*(LN((1-E25)/E25)))^-1*LN(((E27-D27)*(E27-E26))/(E27-F26)^2)*((D139-0.5)/(D139*(1-D139))+LN(D139/(1-D139))))^(-1)*EXP((-LN(E27-F26)-(1/2)*(LN((1-E25)/E25))^-1*LN((E27-D27)/(E27-E26))*LN(D139/(1-D139))-((1-2*E25)*(LN((1-E25)/E25)))^-1*LN(((E27-D27)*(E27-E26))/(E27-F26)^2)*(D139-0.5)*LN(D139/(1-D139)))),IF(F25="b",((1/2)*(LN((1-E25)/E25))^-1*LN(((D27-D26)/(E27-D27))/((E26-D26)/(E27-E26)))/(D139*(1-D139))+((1-2*E25)*(LN((1-E25)/E25)))^-1*LN((((D27-D26)/(E27-D27))*((E26-D26)/(E27-E26)))/((F26-D26)/(E27-F26))^2)*((D139-0.5)/(D139*(1-D139))+LN(D139/(1-D139))))^(-1)*(1+EXP(LN((F26-D26)/(E27-F26))+(1/2)*(LN((1-E25)/E25))^-1*LN(((D27-D26)/(E27-D27))/((E26-D26)/(E27-E26)))*LN(D139/(1-D139))+((1-2*E25)*(LN((1-E25)/E25)))^-1*LN((((D27-D26)/(E27-D27))*((E26-D26)/(E27-E26)))/((F26-D26)/(E27-F26))^2)*(D139-0.5)*LN(D139/(1-D139))))^2/((E27-D26)*EXP(LN((F26-D26)/(E27-F26))+(1/2)*(LN((1-E25)/E25))^-1*LN(((D27-D26)/(E27-D27))/((E26-D26)/(E27-E26)))*LN(D139/(1-D139))+((1-2*E25)*(LN((1-E25)/E25)))^-1*LN((((D27-D26)/(E27-D27))*((E26-D26)/(E27-E26)))/((F26-D26)/(E27-F26))^2)*(D139-0.5)*LN(D139/(1-D139)))),NA())))))</f>
        <v>8.1489517202902877E-4</v>
      </c>
      <c r="H139" s="72">
        <v>103</v>
      </c>
      <c r="I139" s="76"/>
      <c r="J139" s="77"/>
      <c r="K139" s="78"/>
    </row>
    <row r="140" spans="4:11" x14ac:dyDescent="0.35">
      <c r="D140" s="47">
        <f>IF(F27&lt;&gt;"",NA(),0.994)</f>
        <v>0.99399999999999999</v>
      </c>
      <c r="E140" s="48">
        <f>IF(F27&lt;&gt;"",NA(),IF(F25="u",F26+(1/2)*(LN((1-E25)/E25))^-1*(D27-E26)*LN(D140/(1-D140))+((1-2*E25)*(LN((1-E25)/E25)))^-1*(1-2*(F26-E26)/(D27-E26))*(D27-E26)*(D140-0.5)*LN(D140/(1-D140)),IF(F25="sl",D26+EXP(LN(F26-D26)+(1/2)*(LN((1-E25)/E25))^-1*LN((D27-D26)/(E26-D26))*LN(D140/(1-D140))+((1-2*E25)*(LN((1-E25)/E25)))^-1*LN(((D27-D26)*(E26-D26))/(F26-D26)^2)*(D140-0.5)*LN(D140/(1-D140))),IF(F25="su",E27-EXP(-(-LN(E27-F26)-(1/2)*(LN((1-E25)/E25))^-1*LN((E27-D27)/(E27-E26))*LN(D140/(1-D140))-((1-2*E25)*(LN((1-E25)/E25)))^-1*LN(((E27-D27)*(E27-E26))/(E27-F26)^2)*(D140-0.5)*LN(D140/(1-D140)))),IF(F25="b",(D26+E27*EXP(LN((F26-D26)/(E27-F26))+(1/2)*(LN((1-E25)/E25))^-1*LN(((D27-D26)/(E27-D27))/((E26-D26)/(E27-E26)))*LN(D140/(1-D140))+((1-2*E25)*(LN((1-E25)/E25)))^-1*LN((((D27-D26)/(E27-D27))*((E26-D26)/(E27-E26)))/((F26-D26)/(E27-F26))^2)*(D140-0.5)*LN(D140/(1-D140))))/(1+EXP(LN((F26-D26)/(E27-F26))+(1/2)*(LN((1-E25)/E25))^-1*LN(((D27-D26)/(E27-D27))/((E26-D26)/(E27-E26)))*LN(D140/(1-D140))+((1-2*E25)*(LN((1-E25)/E25)))^-1*LN((((D27-D26)/(E27-D27))*((E26-D26)/(E27-E26)))/((F26-D26)/(E27-F26))^2)*(D140-0.5)*LN(D140/(1-D140)))),NA())))))</f>
        <v>95.873917330447028</v>
      </c>
      <c r="F140" s="49">
        <f>IF(F27&lt;&gt;"",NA(),IF(F25="u",((1/2)*(LN((1-E25)/E25))^-1*(D27-E26)/(D140*(1-D140))+((1-2*E25)*(LN((1-E25)/E25)))^-1*(1-2*(F26-E26)/(D27-E26))*(D27-E26)*((D140-0.5)/(D140*(1-D140))+LN(D140/(1-D140))))^(-1),IF(F25="sl",((1/2)*(LN((1-E25)/E25))^-1*LN((D27-D26)/(E26-D26))/(D140*(1-D140))+((1-2*E25)*(LN((1-E25)/E25)))^-1*LN(((D27-D26)*(E26-D26))/(F26-D26)^2)*((D140-0.5)/(D140*(1-D140))+LN(D140/(1-D140))))^(-1)*EXP(-(LN(F26-D26)+(1/2)*(LN((1-E25)/E25))^-1*LN((D27-D26)/(E26-D26))*LN(D140/(1-D140))+((1-2*E25)*(LN((1-E25)/E25)))^-1*LN(((D27-D26)*(E26-D26))/(F26-D26)^2)*(D140-0.5)*LN(D140/(1-D140)))),IF(F25="su",(-(1/2)*(LN((1-E25)/E25))^-1*LN((E27-D27)/(E27-E26))/(D140*(1-D140))-((1-2*E25)*(LN((1-E25)/E25)))^-1*LN(((E27-D27)*(E27-E26))/(E27-F26)^2)*((D140-0.5)/(D140*(1-D140))+LN(D140/(1-D140))))^(-1)*EXP((-LN(E27-F26)-(1/2)*(LN((1-E25)/E25))^-1*LN((E27-D27)/(E27-E26))*LN(D140/(1-D140))-((1-2*E25)*(LN((1-E25)/E25)))^-1*LN(((E27-D27)*(E27-E26))/(E27-F26)^2)*(D140-0.5)*LN(D140/(1-D140)))),IF(F25="b",((1/2)*(LN((1-E25)/E25))^-1*LN(((D27-D26)/(E27-D27))/((E26-D26)/(E27-E26)))/(D140*(1-D140))+((1-2*E25)*(LN((1-E25)/E25)))^-1*LN((((D27-D26)/(E27-D27))*((E26-D26)/(E27-E26)))/((F26-D26)/(E27-F26))^2)*((D140-0.5)/(D140*(1-D140))+LN(D140/(1-D140))))^(-1)*(1+EXP(LN((F26-D26)/(E27-F26))+(1/2)*(LN((1-E25)/E25))^-1*LN(((D27-D26)/(E27-D27))/((E26-D26)/(E27-E26)))*LN(D140/(1-D140))+((1-2*E25)*(LN((1-E25)/E25)))^-1*LN((((D27-D26)/(E27-D27))*((E26-D26)/(E27-E26)))/((F26-D26)/(E27-F26))^2)*(D140-0.5)*LN(D140/(1-D140))))^2/((E27-D26)*EXP(LN((F26-D26)/(E27-F26))+(1/2)*(LN((1-E25)/E25))^-1*LN(((D27-D26)/(E27-D27))/((E26-D26)/(E27-E26)))*LN(D140/(1-D140))+((1-2*E25)*(LN((1-E25)/E25)))^-1*LN((((D27-D26)/(E27-D27))*((E26-D26)/(E27-E26)))/((F26-D26)/(E27-F26))^2)*(D140-0.5)*LN(D140/(1-D140)))),NA())))))</f>
        <v>4.9345807442339931E-4</v>
      </c>
      <c r="H140" s="72">
        <v>104</v>
      </c>
      <c r="I140" s="76"/>
      <c r="J140" s="77"/>
      <c r="K140" s="78"/>
    </row>
    <row r="141" spans="4:11" x14ac:dyDescent="0.35">
      <c r="D141" s="47">
        <f>IF(F27&lt;&gt;"",NA(),0.997)</f>
        <v>0.997</v>
      </c>
      <c r="E141" s="48">
        <f>IF(F27&lt;&gt;"",NA(),IF(F25="u",F26+(1/2)*(LN((1-E25)/E25))^-1*(D27-E26)*LN(D141/(1-D141))+((1-2*E25)*(LN((1-E25)/E25)))^-1*(1-2*(F26-E26)/(D27-E26))*(D27-E26)*(D141-0.5)*LN(D141/(1-D141)),IF(F25="sl",D26+EXP(LN(F26-D26)+(1/2)*(LN((1-E25)/E25))^-1*LN((D27-D26)/(E26-D26))*LN(D141/(1-D141))+((1-2*E25)*(LN((1-E25)/E25)))^-1*LN(((D27-D26)*(E26-D26))/(F26-D26)^2)*(D141-0.5)*LN(D141/(1-D141))),IF(F25="su",E27-EXP(-(-LN(E27-F26)-(1/2)*(LN((1-E25)/E25))^-1*LN((E27-D27)/(E27-E26))*LN(D141/(1-D141))-((1-2*E25)*(LN((1-E25)/E25)))^-1*LN(((E27-D27)*(E27-E26))/(E27-F26)^2)*(D141-0.5)*LN(D141/(1-D141)))),IF(F25="b",(D26+E27*EXP(LN((F26-D26)/(E27-F26))+(1/2)*(LN((1-E25)/E25))^-1*LN(((D27-D26)/(E27-D27))/((E26-D26)/(E27-E26)))*LN(D141/(1-D141))+((1-2*E25)*(LN((1-E25)/E25)))^-1*LN((((D27-D26)/(E27-D27))*((E26-D26)/(E27-E26)))/((F26-D26)/(E27-F26))^2)*(D141-0.5)*LN(D141/(1-D141))))/(1+EXP(LN((F26-D26)/(E27-F26))+(1/2)*(LN((1-E25)/E25))^-1*LN(((D27-D26)/(E27-D27))/((E26-D26)/(E27-E26)))*LN(D141/(1-D141))+((1-2*E25)*(LN((1-E25)/E25)))^-1*LN((((D27-D26)/(E27-D27))*((E26-D26)/(E27-E26)))/((F26-D26)/(E27-F26))^2)*(D141-0.5)*LN(D141/(1-D141)))),NA())))))</f>
        <v>104.26620360556032</v>
      </c>
      <c r="F141" s="49">
        <f>IF(F27&lt;&gt;"",NA(),IF(F25="u",((1/2)*(LN((1-E25)/E25))^-1*(D27-E26)/(D141*(1-D141))+((1-2*E25)*(LN((1-E25)/E25)))^-1*(1-2*(F26-E26)/(D27-E26))*(D27-E26)*((D141-0.5)/(D141*(1-D141))+LN(D141/(1-D141))))^(-1),IF(F25="sl",((1/2)*(LN((1-E25)/E25))^-1*LN((D27-D26)/(E26-D26))/(D141*(1-D141))+((1-2*E25)*(LN((1-E25)/E25)))^-1*LN(((D27-D26)*(E26-D26))/(F26-D26)^2)*((D141-0.5)/(D141*(1-D141))+LN(D141/(1-D141))))^(-1)*EXP(-(LN(F26-D26)+(1/2)*(LN((1-E25)/E25))^-1*LN((D27-D26)/(E26-D26))*LN(D141/(1-D141))+((1-2*E25)*(LN((1-E25)/E25)))^-1*LN(((D27-D26)*(E26-D26))/(F26-D26)^2)*(D141-0.5)*LN(D141/(1-D141)))),IF(F25="su",(-(1/2)*(LN((1-E25)/E25))^-1*LN((E27-D27)/(E27-E26))/(D141*(1-D141))-((1-2*E25)*(LN((1-E25)/E25)))^-1*LN(((E27-D27)*(E27-E26))/(E27-F26)^2)*((D141-0.5)/(D141*(1-D141))+LN(D141/(1-D141))))^(-1)*EXP((-LN(E27-F26)-(1/2)*(LN((1-E25)/E25))^-1*LN((E27-D27)/(E27-E26))*LN(D141/(1-D141))-((1-2*E25)*(LN((1-E25)/E25)))^-1*LN(((E27-D27)*(E27-E26))/(E27-F26)^2)*(D141-0.5)*LN(D141/(1-D141)))),IF(F25="b",((1/2)*(LN((1-E25)/E25))^-1*LN(((D27-D26)/(E27-D27))/((E26-D26)/(E27-E26)))/(D141*(1-D141))+((1-2*E25)*(LN((1-E25)/E25)))^-1*LN((((D27-D26)/(E27-D27))*((E26-D26)/(E27-E26)))/((F26-D26)/(E27-F26))^2)*((D141-0.5)/(D141*(1-D141))+LN(D141/(1-D141))))^(-1)*(1+EXP(LN((F26-D26)/(E27-F26))+(1/2)*(LN((1-E25)/E25))^-1*LN(((D27-D26)/(E27-D27))/((E26-D26)/(E27-E26)))*LN(D141/(1-D141))+((1-2*E25)*(LN((1-E25)/E25)))^-1*LN((((D27-D26)/(E27-D27))*((E26-D26)/(E27-E26)))/((F26-D26)/(E27-F26))^2)*(D141-0.5)*LN(D141/(1-D141))))^2/((E27-D26)*EXP(LN((F26-D26)/(E27-F26))+(1/2)*(LN((1-E25)/E25))^-1*LN(((D27-D26)/(E27-D27))/((E26-D26)/(E27-E26)))*LN(D141/(1-D141))+((1-2*E25)*(LN((1-E25)/E25)))^-1*LN((((D27-D26)/(E27-D27))*((E26-D26)/(E27-E26)))/((F26-D26)/(E27-F26))^2)*(D141-0.5)*LN(D141/(1-D141)))),NA())))))</f>
        <v>2.4865697662125331E-4</v>
      </c>
      <c r="H141" s="72">
        <v>105</v>
      </c>
      <c r="I141" s="76"/>
      <c r="J141" s="77"/>
      <c r="K141" s="78"/>
    </row>
    <row r="142" spans="4:11" x14ac:dyDescent="0.35">
      <c r="D142" s="47">
        <f>IF(F27&lt;&gt;"",NA(),0.999)</f>
        <v>0.999</v>
      </c>
      <c r="E142" s="48">
        <f>IF(F27&lt;&gt;"",NA(),IF(F25="u",F26+(1/2)*(LN((1-E25)/E25))^-1*(D27-E26)*LN(D142/(1-D142))+((1-2*E25)*(LN((1-E25)/E25)))^-1*(1-2*(F26-E26)/(D27-E26))*(D27-E26)*(D142-0.5)*LN(D142/(1-D142)),IF(F25="sl",D26+EXP(LN(F26-D26)+(1/2)*(LN((1-E25)/E25))^-1*LN((D27-D26)/(E26-D26))*LN(D142/(1-D142))+((1-2*E25)*(LN((1-E25)/E25)))^-1*LN(((D27-D26)*(E26-D26))/(F26-D26)^2)*(D142-0.5)*LN(D142/(1-D142))),IF(F25="su",E27-EXP(-(-LN(E27-F26)-(1/2)*(LN((1-E25)/E25))^-1*LN((E27-D27)/(E27-E26))*LN(D142/(1-D142))-((1-2*E25)*(LN((1-E25)/E25)))^-1*LN(((E27-D27)*(E27-E26))/(E27-F26)^2)*(D142-0.5)*LN(D142/(1-D142)))),IF(F25="b",(D26+E27*EXP(LN((F26-D26)/(E27-F26))+(1/2)*(LN((1-E25)/E25))^-1*LN(((D27-D26)/(E27-D27))/((E26-D26)/(E27-E26)))*LN(D142/(1-D142))+((1-2*E25)*(LN((1-E25)/E25)))^-1*LN((((D27-D26)/(E27-D27))*((E26-D26)/(E27-E26)))/((F26-D26)/(E27-F26))^2)*(D142-0.5)*LN(D142/(1-D142))))/(1+EXP(LN((F26-D26)/(E27-F26))+(1/2)*(LN((1-E25)/E25))^-1*LN(((D27-D26)/(E27-D27))/((E26-D26)/(E27-E26)))*LN(D142/(1-D142))+((1-2*E25)*(LN((1-E25)/E25)))^-1*LN((((D27-D26)/(E27-D27))*((E26-D26)/(E27-E26)))/((F26-D26)/(E27-F26))^2)*(D142-0.5)*LN(D142/(1-D142)))),NA())))))</f>
        <v>117.47494606331345</v>
      </c>
      <c r="F142" s="49">
        <f>IF(F27&lt;&gt;"",NA(),IF(F25="u",((1/2)*(LN((1-E25)/E25))^-1*(D27-E26)/(D142*(1-D142))+((1-2*E25)*(LN((1-E25)/E25)))^-1*(1-2*(F26-E26)/(D27-E26))*(D27-E26)*((D142-0.5)/(D142*(1-D142))+LN(D142/(1-D142))))^(-1),IF(F25="sl",((1/2)*(LN((1-E25)/E25))^-1*LN((D27-D26)/(E26-D26))/(D142*(1-D142))+((1-2*E25)*(LN((1-E25)/E25)))^-1*LN(((D27-D26)*(E26-D26))/(F26-D26)^2)*((D142-0.5)/(D142*(1-D142))+LN(D142/(1-D142))))^(-1)*EXP(-(LN(F26-D26)+(1/2)*(LN((1-E25)/E25))^-1*LN((D27-D26)/(E26-D26))*LN(D142/(1-D142))+((1-2*E25)*(LN((1-E25)/E25)))^-1*LN(((D27-D26)*(E26-D26))/(F26-D26)^2)*(D142-0.5)*LN(D142/(1-D142)))),IF(F25="su",(-(1/2)*(LN((1-E25)/E25))^-1*LN((E27-D27)/(E27-E26))/(D142*(1-D142))-((1-2*E25)*(LN((1-E25)/E25)))^-1*LN(((E27-D27)*(E27-E26))/(E27-F26)^2)*((D142-0.5)/(D142*(1-D142))+LN(D142/(1-D142))))^(-1)*EXP((-LN(E27-F26)-(1/2)*(LN((1-E25)/E25))^-1*LN((E27-D27)/(E27-E26))*LN(D142/(1-D142))-((1-2*E25)*(LN((1-E25)/E25)))^-1*LN(((E27-D27)*(E27-E26))/(E27-F26)^2)*(D142-0.5)*LN(D142/(1-D142)))),IF(F25="b",((1/2)*(LN((1-E25)/E25))^-1*LN(((D27-D26)/(E27-D27))/((E26-D26)/(E27-E26)))/(D142*(1-D142))+((1-2*E25)*(LN((1-E25)/E25)))^-1*LN((((D27-D26)/(E27-D27))*((E26-D26)/(E27-E26)))/((F26-D26)/(E27-F26))^2)*((D142-0.5)/(D142*(1-D142))+LN(D142/(1-D142))))^(-1)*(1+EXP(LN((F26-D26)/(E27-F26))+(1/2)*(LN((1-E25)/E25))^-1*LN(((D27-D26)/(E27-D27))/((E26-D26)/(E27-E26)))*LN(D142/(1-D142))+((1-2*E25)*(LN((1-E25)/E25)))^-1*LN((((D27-D26)/(E27-D27))*((E26-D26)/(E27-E26)))/((F26-D26)/(E27-F26))^2)*(D142-0.5)*LN(D142/(1-D142))))^2/((E27-D26)*EXP(LN((F26-D26)/(E27-F26))+(1/2)*(LN((1-E25)/E25))^-1*LN(((D27-D26)/(E27-D27))/((E26-D26)/(E27-E26)))*LN(D142/(1-D142))+((1-2*E25)*(LN((1-E25)/E25)))^-1*LN((((D27-D26)/(E27-D27))*((E26-D26)/(E27-E26)))/((F26-D26)/(E27-F26))^2)*(D142-0.5)*LN(D142/(1-D142)))),NA())))))</f>
        <v>8.3385821213431433E-5</v>
      </c>
      <c r="H142" s="72">
        <v>106</v>
      </c>
      <c r="I142" s="76"/>
      <c r="J142" s="77"/>
      <c r="K142" s="78"/>
    </row>
    <row r="143" spans="4:11" x14ac:dyDescent="0.35">
      <c r="D143" s="54" t="e">
        <f>IF(AND(OR(F25="su",F25="b"),F27=""),1,NA())</f>
        <v>#N/A</v>
      </c>
      <c r="E143" s="55" t="e">
        <f>IF(AND(OR(F25="su",F25="b"),F27=""),E27,NA())</f>
        <v>#N/A</v>
      </c>
      <c r="F143" s="56" t="e">
        <f>IF(AND(OR(F25="su",F25="b"),F27=""),0,NA())</f>
        <v>#N/A</v>
      </c>
      <c r="H143" s="79">
        <v>107</v>
      </c>
      <c r="I143" s="76"/>
      <c r="J143" s="77"/>
      <c r="K143" s="78"/>
    </row>
  </sheetData>
  <conditionalFormatting sqref="D37:F143">
    <cfRule type="expression" dxfId="12" priority="9">
      <formula>ISNUMBER(D37)=FALSE</formula>
    </cfRule>
  </conditionalFormatting>
  <conditionalFormatting sqref="F27 N25:P25">
    <cfRule type="expression" dxfId="11" priority="8">
      <formula>F25&lt;&gt;""</formula>
    </cfRule>
  </conditionalFormatting>
  <conditionalFormatting sqref="D31:F35">
    <cfRule type="expression" dxfId="10" priority="7">
      <formula>ISNUMBER(D31)=FALSE</formula>
    </cfRule>
  </conditionalFormatting>
  <conditionalFormatting sqref="E27">
    <cfRule type="expression" dxfId="9" priority="10">
      <formula>AND( F25 &lt;&gt; "su", F25 &lt;&gt; "b" )</formula>
    </cfRule>
  </conditionalFormatting>
  <conditionalFormatting sqref="D26:D27">
    <cfRule type="expression" dxfId="8" priority="11">
      <formula>AND( F25 &lt;&gt; "sl", F25 &lt;&gt; "b" )</formula>
    </cfRule>
  </conditionalFormatting>
  <conditionalFormatting sqref="N20:P20">
    <cfRule type="expression" dxfId="7" priority="12">
      <formula>AND( N19 &lt;&gt; "sl", N19 &lt;&gt; "b" )</formula>
    </cfRule>
  </conditionalFormatting>
  <conditionalFormatting sqref="N24:P24">
    <cfRule type="expression" dxfId="6" priority="13">
      <formula>AND( N19 &lt;&gt; "su", N19 &lt;&gt; "b" )</formula>
    </cfRule>
  </conditionalFormatting>
  <conditionalFormatting sqref="Q25">
    <cfRule type="expression" dxfId="5" priority="4">
      <formula>Q25&lt;&gt;""</formula>
    </cfRule>
  </conditionalFormatting>
  <conditionalFormatting sqref="Q24">
    <cfRule type="expression" dxfId="4" priority="5">
      <formula>AND( Q19 &lt;&gt; "su", Q19 &lt;&gt; "b" )</formula>
    </cfRule>
  </conditionalFormatting>
  <conditionalFormatting sqref="Q20">
    <cfRule type="expression" dxfId="3" priority="6">
      <formula>AND( Q19 &lt;&gt; "sl", Q19 &lt;&gt; "b" )</formula>
    </cfRule>
  </conditionalFormatting>
  <conditionalFormatting sqref="H39:I143">
    <cfRule type="expression" dxfId="2" priority="1">
      <formula>ISERROR(H39)</formula>
    </cfRule>
  </conditionalFormatting>
  <conditionalFormatting sqref="H37:K37">
    <cfRule type="expression" dxfId="1" priority="3">
      <formula>ISERROR(H37)</formula>
    </cfRule>
  </conditionalFormatting>
  <conditionalFormatting sqref="H38:K38 J39:K143">
    <cfRule type="expression" dxfId="0" priority="2">
      <formula>ISERROR(H38)</formula>
    </cfRule>
  </conditionalFormatting>
  <dataValidations count="1">
    <dataValidation type="list" allowBlank="1" showInputMessage="1" showErrorMessage="1" sqref="F25 N19:Q19" xr:uid="{00000000-0002-0000-0000-000000000000}">
      <formula1>"u, sl, su, b"</formula1>
    </dataValidation>
  </dataValidations>
  <hyperlinks>
    <hyperlink ref="L27" r:id="rId1" xr:uid="{00000000-0004-0000-0000-000000000000}"/>
  </hyperlinks>
  <pageMargins left="0.7" right="0.7" top="0.75" bottom="0.75" header="0.3" footer="0.3"/>
  <pageSetup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vertical 1-col 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</dc:creator>
  <cp:lastModifiedBy>Corporate Edition</cp:lastModifiedBy>
  <dcterms:created xsi:type="dcterms:W3CDTF">2019-07-06T15:27:58Z</dcterms:created>
  <dcterms:modified xsi:type="dcterms:W3CDTF">2019-12-10T23:22:08Z</dcterms:modified>
</cp:coreProperties>
</file>