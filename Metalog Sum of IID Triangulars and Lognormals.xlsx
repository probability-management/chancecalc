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ocuments\SIPmath\3.5\"/>
    </mc:Choice>
  </mc:AlternateContent>
  <bookViews>
    <workbookView xWindow="0" yWindow="0" windowWidth="38400" windowHeight="17180" activeTab="1"/>
  </bookViews>
  <sheets>
    <sheet name="user model" sheetId="4" r:id="rId1"/>
    <sheet name="Metalog IID triangular" sheetId="3" r:id="rId2"/>
    <sheet name="Metalog IID lognormal" sheetId="2" r:id="rId3"/>
  </sheets>
  <definedNames>
    <definedName name="PM_sparklinesForInputs" hidden="1">TRUE</definedName>
    <definedName name="PM_sparklinesForOutputs" hidden="1">TRUE</definedName>
    <definedName name="PM_sparklinesIONumberOfBins" hidden="1">10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483" i="3" l="1"/>
  <c r="M377" i="3"/>
  <c r="M372" i="3"/>
  <c r="M266" i="3"/>
  <c r="M377" i="2"/>
  <c r="M266" i="2"/>
  <c r="M503" i="2" l="1" a="1"/>
  <c r="M511" i="2" s="1"/>
  <c r="M505" i="2" l="1"/>
  <c r="M506" i="2"/>
  <c r="M507" i="2"/>
  <c r="M503" i="2"/>
  <c r="M504" i="2"/>
  <c r="M508" i="2"/>
  <c r="M509" i="2"/>
  <c r="M510" i="2"/>
  <c r="M516" i="2"/>
  <c r="M515" i="2"/>
  <c r="M516" i="3"/>
  <c r="M515" i="3"/>
  <c r="M512" i="3"/>
  <c r="M502" i="3"/>
  <c r="M13" i="2" l="1" a="1"/>
  <c r="M21" i="2" s="1"/>
  <c r="M13" i="2" l="1"/>
  <c r="M14" i="2"/>
  <c r="M16" i="2"/>
  <c r="M18" i="2"/>
  <c r="M19" i="2"/>
  <c r="M20" i="2"/>
  <c r="M15" i="2"/>
  <c r="M17" i="2"/>
  <c r="M481" i="2" l="1"/>
  <c r="M469" i="2"/>
  <c r="M457" i="2"/>
  <c r="M445" i="2"/>
  <c r="M433" i="2"/>
  <c r="M421" i="2"/>
  <c r="M409" i="2"/>
  <c r="M397" i="2"/>
  <c r="M385" i="2"/>
  <c r="M480" i="2"/>
  <c r="M468" i="2"/>
  <c r="M456" i="2"/>
  <c r="M444" i="2"/>
  <c r="M432" i="2"/>
  <c r="M420" i="2"/>
  <c r="M408" i="2"/>
  <c r="M396" i="2"/>
  <c r="M384" i="2"/>
  <c r="M479" i="2"/>
  <c r="M467" i="2"/>
  <c r="M455" i="2"/>
  <c r="M443" i="2"/>
  <c r="M431" i="2"/>
  <c r="M419" i="2"/>
  <c r="M407" i="2"/>
  <c r="M395" i="2"/>
  <c r="M383" i="2"/>
  <c r="M429" i="2"/>
  <c r="M381" i="2"/>
  <c r="M478" i="2"/>
  <c r="M466" i="2"/>
  <c r="M454" i="2"/>
  <c r="M442" i="2"/>
  <c r="M430" i="2"/>
  <c r="M418" i="2"/>
  <c r="M406" i="2"/>
  <c r="M394" i="2"/>
  <c r="M382" i="2"/>
  <c r="M477" i="2"/>
  <c r="M453" i="2"/>
  <c r="M417" i="2"/>
  <c r="M405" i="2"/>
  <c r="M465" i="2"/>
  <c r="M441" i="2"/>
  <c r="M393" i="2"/>
  <c r="M476" i="2"/>
  <c r="M464" i="2"/>
  <c r="M452" i="2"/>
  <c r="M440" i="2"/>
  <c r="M428" i="2"/>
  <c r="M416" i="2"/>
  <c r="M404" i="2"/>
  <c r="M392" i="2"/>
  <c r="M380" i="2"/>
  <c r="M451" i="2"/>
  <c r="M439" i="2"/>
  <c r="M415" i="2"/>
  <c r="M403" i="2"/>
  <c r="M379" i="2"/>
  <c r="M475" i="2"/>
  <c r="M463" i="2"/>
  <c r="M427" i="2"/>
  <c r="M391" i="2"/>
  <c r="M474" i="2"/>
  <c r="M462" i="2"/>
  <c r="M450" i="2"/>
  <c r="M438" i="2"/>
  <c r="M426" i="2"/>
  <c r="M414" i="2"/>
  <c r="M402" i="2"/>
  <c r="M390" i="2"/>
  <c r="M378" i="2"/>
  <c r="M470" i="2"/>
  <c r="M446" i="2"/>
  <c r="M410" i="2"/>
  <c r="M386" i="2"/>
  <c r="M473" i="2"/>
  <c r="M461" i="2"/>
  <c r="M449" i="2"/>
  <c r="M437" i="2"/>
  <c r="M425" i="2"/>
  <c r="M413" i="2"/>
  <c r="M401" i="2"/>
  <c r="M389" i="2"/>
  <c r="M422" i="2"/>
  <c r="M472" i="2"/>
  <c r="M460" i="2"/>
  <c r="M448" i="2"/>
  <c r="M436" i="2"/>
  <c r="M424" i="2"/>
  <c r="M412" i="2"/>
  <c r="M400" i="2"/>
  <c r="M388" i="2"/>
  <c r="M482" i="2"/>
  <c r="M434" i="2"/>
  <c r="M398" i="2"/>
  <c r="M483" i="2"/>
  <c r="M471" i="2"/>
  <c r="M459" i="2"/>
  <c r="M447" i="2"/>
  <c r="M435" i="2"/>
  <c r="M423" i="2"/>
  <c r="M411" i="2"/>
  <c r="M399" i="2"/>
  <c r="M387" i="2"/>
  <c r="M458" i="2"/>
  <c r="M369" i="2"/>
  <c r="M357" i="2"/>
  <c r="M368" i="2"/>
  <c r="M356" i="2"/>
  <c r="M308" i="2"/>
  <c r="M367" i="2"/>
  <c r="M355" i="2"/>
  <c r="M343" i="2"/>
  <c r="M331" i="2"/>
  <c r="M319" i="2"/>
  <c r="M307" i="2"/>
  <c r="M295" i="2"/>
  <c r="M283" i="2"/>
  <c r="M271" i="2"/>
  <c r="M341" i="2"/>
  <c r="M317" i="2"/>
  <c r="M281" i="2"/>
  <c r="M315" i="2"/>
  <c r="M279" i="2"/>
  <c r="M370" i="2"/>
  <c r="M344" i="2"/>
  <c r="M366" i="2"/>
  <c r="M354" i="2"/>
  <c r="M342" i="2"/>
  <c r="M330" i="2"/>
  <c r="M318" i="2"/>
  <c r="M306" i="2"/>
  <c r="M294" i="2"/>
  <c r="M282" i="2"/>
  <c r="M270" i="2"/>
  <c r="M365" i="2"/>
  <c r="M353" i="2"/>
  <c r="M329" i="2"/>
  <c r="M293" i="2"/>
  <c r="M269" i="2"/>
  <c r="M291" i="2"/>
  <c r="M267" i="2"/>
  <c r="M334" i="2"/>
  <c r="M321" i="2"/>
  <c r="M273" i="2"/>
  <c r="M305" i="2"/>
  <c r="M286" i="2"/>
  <c r="M332" i="2"/>
  <c r="M364" i="2"/>
  <c r="M352" i="2"/>
  <c r="M340" i="2"/>
  <c r="M328" i="2"/>
  <c r="M316" i="2"/>
  <c r="M304" i="2"/>
  <c r="M292" i="2"/>
  <c r="M280" i="2"/>
  <c r="M268" i="2"/>
  <c r="M363" i="2"/>
  <c r="M351" i="2"/>
  <c r="M327" i="2"/>
  <c r="M303" i="2"/>
  <c r="M310" i="2"/>
  <c r="M345" i="2"/>
  <c r="M339" i="2"/>
  <c r="M274" i="2"/>
  <c r="M297" i="2"/>
  <c r="M362" i="2"/>
  <c r="M350" i="2"/>
  <c r="M338" i="2"/>
  <c r="M326" i="2"/>
  <c r="M314" i="2"/>
  <c r="M302" i="2"/>
  <c r="M290" i="2"/>
  <c r="M278" i="2"/>
  <c r="M298" i="2"/>
  <c r="M309" i="2"/>
  <c r="M272" i="2"/>
  <c r="M361" i="2"/>
  <c r="M349" i="2"/>
  <c r="M337" i="2"/>
  <c r="M325" i="2"/>
  <c r="M313" i="2"/>
  <c r="M301" i="2"/>
  <c r="M289" i="2"/>
  <c r="M277" i="2"/>
  <c r="M322" i="2"/>
  <c r="M285" i="2"/>
  <c r="M284" i="2"/>
  <c r="M372" i="2"/>
  <c r="M360" i="2"/>
  <c r="M348" i="2"/>
  <c r="M336" i="2"/>
  <c r="M324" i="2"/>
  <c r="M312" i="2"/>
  <c r="M300" i="2"/>
  <c r="M288" i="2"/>
  <c r="M276" i="2"/>
  <c r="M346" i="2"/>
  <c r="M333" i="2"/>
  <c r="M296" i="2"/>
  <c r="M371" i="2"/>
  <c r="M359" i="2"/>
  <c r="M347" i="2"/>
  <c r="M335" i="2"/>
  <c r="M323" i="2"/>
  <c r="M311" i="2"/>
  <c r="M299" i="2"/>
  <c r="M287" i="2"/>
  <c r="M275" i="2"/>
  <c r="M358" i="2"/>
  <c r="M320" i="2"/>
  <c r="M7" i="2"/>
  <c r="M8" i="2"/>
  <c r="M13" i="3" l="1" a="1"/>
  <c r="M21" i="3" s="1"/>
  <c r="M18" i="3" l="1"/>
  <c r="M15" i="3"/>
  <c r="M17" i="3"/>
  <c r="M19" i="3"/>
  <c r="M13" i="3"/>
  <c r="M16" i="3"/>
  <c r="M20" i="3"/>
  <c r="M14" i="3"/>
  <c r="M471" i="3" l="1"/>
  <c r="M459" i="3"/>
  <c r="M447" i="3"/>
  <c r="M435" i="3"/>
  <c r="M423" i="3"/>
  <c r="M411" i="3"/>
  <c r="M399" i="3"/>
  <c r="M387" i="3"/>
  <c r="M482" i="3"/>
  <c r="M470" i="3"/>
  <c r="M458" i="3"/>
  <c r="M446" i="3"/>
  <c r="M434" i="3"/>
  <c r="M422" i="3"/>
  <c r="M410" i="3"/>
  <c r="M398" i="3"/>
  <c r="M386" i="3"/>
  <c r="M481" i="3"/>
  <c r="M469" i="3"/>
  <c r="M457" i="3"/>
  <c r="M445" i="3"/>
  <c r="M433" i="3"/>
  <c r="M421" i="3"/>
  <c r="M409" i="3"/>
  <c r="M397" i="3"/>
  <c r="M385" i="3"/>
  <c r="M480" i="3"/>
  <c r="M468" i="3"/>
  <c r="M456" i="3"/>
  <c r="M444" i="3"/>
  <c r="M432" i="3"/>
  <c r="M420" i="3"/>
  <c r="M408" i="3"/>
  <c r="M396" i="3"/>
  <c r="M384" i="3"/>
  <c r="M479" i="3"/>
  <c r="M467" i="3"/>
  <c r="M455" i="3"/>
  <c r="M443" i="3"/>
  <c r="M431" i="3"/>
  <c r="M419" i="3"/>
  <c r="M407" i="3"/>
  <c r="M395" i="3"/>
  <c r="M383" i="3"/>
  <c r="M478" i="3"/>
  <c r="M466" i="3"/>
  <c r="M454" i="3"/>
  <c r="M442" i="3"/>
  <c r="M430" i="3"/>
  <c r="M418" i="3"/>
  <c r="M406" i="3"/>
  <c r="M394" i="3"/>
  <c r="M382" i="3"/>
  <c r="M477" i="3"/>
  <c r="M465" i="3"/>
  <c r="M453" i="3"/>
  <c r="M441" i="3"/>
  <c r="M429" i="3"/>
  <c r="M417" i="3"/>
  <c r="M405" i="3"/>
  <c r="M393" i="3"/>
  <c r="M381" i="3"/>
  <c r="M476" i="3"/>
  <c r="M464" i="3"/>
  <c r="M452" i="3"/>
  <c r="M440" i="3"/>
  <c r="M428" i="3"/>
  <c r="M416" i="3"/>
  <c r="M404" i="3"/>
  <c r="M392" i="3"/>
  <c r="M380" i="3"/>
  <c r="M436" i="3"/>
  <c r="M424" i="3"/>
  <c r="M412" i="3"/>
  <c r="M475" i="3"/>
  <c r="M463" i="3"/>
  <c r="M451" i="3"/>
  <c r="M439" i="3"/>
  <c r="M427" i="3"/>
  <c r="M415" i="3"/>
  <c r="M403" i="3"/>
  <c r="M391" i="3"/>
  <c r="M379" i="3"/>
  <c r="M448" i="3"/>
  <c r="M388" i="3"/>
  <c r="M474" i="3"/>
  <c r="M462" i="3"/>
  <c r="M450" i="3"/>
  <c r="M438" i="3"/>
  <c r="M426" i="3"/>
  <c r="M414" i="3"/>
  <c r="M402" i="3"/>
  <c r="M390" i="3"/>
  <c r="M378" i="3"/>
  <c r="M460" i="3"/>
  <c r="M473" i="3"/>
  <c r="M461" i="3"/>
  <c r="M449" i="3"/>
  <c r="M437" i="3"/>
  <c r="M425" i="3"/>
  <c r="M413" i="3"/>
  <c r="M401" i="3"/>
  <c r="M389" i="3"/>
  <c r="M472" i="3"/>
  <c r="M400" i="3"/>
  <c r="M503" i="3" a="1"/>
  <c r="M504" i="3" s="1"/>
  <c r="M371" i="3"/>
  <c r="M359" i="3"/>
  <c r="M347" i="3"/>
  <c r="M335" i="3"/>
  <c r="M323" i="3"/>
  <c r="M311" i="3"/>
  <c r="M299" i="3"/>
  <c r="M287" i="3"/>
  <c r="M275" i="3"/>
  <c r="M370" i="3"/>
  <c r="M358" i="3"/>
  <c r="M346" i="3"/>
  <c r="M334" i="3"/>
  <c r="M322" i="3"/>
  <c r="M310" i="3"/>
  <c r="M298" i="3"/>
  <c r="M286" i="3"/>
  <c r="M274" i="3"/>
  <c r="M369" i="3"/>
  <c r="M357" i="3"/>
  <c r="M345" i="3"/>
  <c r="M333" i="3"/>
  <c r="M321" i="3"/>
  <c r="M309" i="3"/>
  <c r="M297" i="3"/>
  <c r="M285" i="3"/>
  <c r="M273" i="3"/>
  <c r="M283" i="3"/>
  <c r="M368" i="3"/>
  <c r="M356" i="3"/>
  <c r="M344" i="3"/>
  <c r="M332" i="3"/>
  <c r="M320" i="3"/>
  <c r="M308" i="3"/>
  <c r="M296" i="3"/>
  <c r="M284" i="3"/>
  <c r="M272" i="3"/>
  <c r="M367" i="3"/>
  <c r="M355" i="3"/>
  <c r="M343" i="3"/>
  <c r="M331" i="3"/>
  <c r="M319" i="3"/>
  <c r="M307" i="3"/>
  <c r="M295" i="3"/>
  <c r="M271" i="3"/>
  <c r="M366" i="3"/>
  <c r="M354" i="3"/>
  <c r="M342" i="3"/>
  <c r="M330" i="3"/>
  <c r="M318" i="3"/>
  <c r="M306" i="3"/>
  <c r="M294" i="3"/>
  <c r="M282" i="3"/>
  <c r="M270" i="3"/>
  <c r="M281" i="3"/>
  <c r="M365" i="3"/>
  <c r="M353" i="3"/>
  <c r="M341" i="3"/>
  <c r="M329" i="3"/>
  <c r="M317" i="3"/>
  <c r="M305" i="3"/>
  <c r="M293" i="3"/>
  <c r="M269" i="3"/>
  <c r="M364" i="3"/>
  <c r="M352" i="3"/>
  <c r="M340" i="3"/>
  <c r="M328" i="3"/>
  <c r="M316" i="3"/>
  <c r="M304" i="3"/>
  <c r="M292" i="3"/>
  <c r="M280" i="3"/>
  <c r="M268" i="3"/>
  <c r="M360" i="3"/>
  <c r="M348" i="3"/>
  <c r="M312" i="3"/>
  <c r="M288" i="3"/>
  <c r="M363" i="3"/>
  <c r="M351" i="3"/>
  <c r="M339" i="3"/>
  <c r="M327" i="3"/>
  <c r="M315" i="3"/>
  <c r="M303" i="3"/>
  <c r="M291" i="3"/>
  <c r="M279" i="3"/>
  <c r="M267" i="3"/>
  <c r="M336" i="3"/>
  <c r="M276" i="3"/>
  <c r="M362" i="3"/>
  <c r="M350" i="3"/>
  <c r="M338" i="3"/>
  <c r="M326" i="3"/>
  <c r="M314" i="3"/>
  <c r="M302" i="3"/>
  <c r="M290" i="3"/>
  <c r="M278" i="3"/>
  <c r="M300" i="3"/>
  <c r="M361" i="3"/>
  <c r="M349" i="3"/>
  <c r="M337" i="3"/>
  <c r="M325" i="3"/>
  <c r="M313" i="3"/>
  <c r="M301" i="3"/>
  <c r="M289" i="3"/>
  <c r="M277" i="3"/>
  <c r="M324" i="3"/>
  <c r="M8" i="3"/>
  <c r="M7" i="3"/>
  <c r="K7" i="3"/>
  <c r="G19" i="4"/>
  <c r="M505" i="3" l="1"/>
  <c r="M506" i="3"/>
  <c r="M510" i="3"/>
  <c r="M503" i="3"/>
  <c r="M507" i="3"/>
  <c r="M508" i="3"/>
  <c r="M511" i="3"/>
  <c r="M509" i="3"/>
  <c r="L146" i="3"/>
  <c r="L137" i="3"/>
  <c r="L128" i="3"/>
  <c r="L119" i="3"/>
  <c r="L110" i="3"/>
  <c r="L101" i="3"/>
  <c r="L92" i="3"/>
  <c r="L83" i="3"/>
  <c r="L74" i="3"/>
  <c r="L65" i="3"/>
  <c r="L56" i="3"/>
  <c r="L47" i="3"/>
  <c r="O41" i="3"/>
  <c r="P41" i="3" s="1"/>
  <c r="Q41" i="3" s="1"/>
  <c r="R41" i="3" s="1"/>
  <c r="S41" i="3" s="1"/>
  <c r="T41" i="3" s="1"/>
  <c r="U41" i="3" s="1"/>
  <c r="V41" i="3" s="1"/>
  <c r="W41" i="3" s="1"/>
  <c r="X41" i="3" s="1"/>
  <c r="Y41" i="3" s="1"/>
  <c r="Z41" i="3" s="1"/>
  <c r="AA41" i="3" s="1"/>
  <c r="AB41" i="3" s="1"/>
  <c r="AC41" i="3" s="1"/>
  <c r="AD41" i="3" s="1"/>
  <c r="AE41" i="3" s="1"/>
  <c r="AF41" i="3" s="1"/>
  <c r="AG41" i="3" s="1"/>
  <c r="AH41" i="3" s="1"/>
  <c r="AI41" i="3" s="1"/>
  <c r="AJ41" i="3" s="1"/>
  <c r="AK41" i="3" s="1"/>
  <c r="AL41" i="3" s="1"/>
  <c r="AM41" i="3" s="1"/>
  <c r="AN41" i="3" s="1"/>
  <c r="L146" i="2"/>
  <c r="L137" i="2"/>
  <c r="L128" i="2"/>
  <c r="L119" i="2"/>
  <c r="L110" i="2"/>
  <c r="L101" i="2"/>
  <c r="L92" i="2"/>
  <c r="L83" i="2"/>
  <c r="L74" i="2"/>
  <c r="L65" i="2"/>
  <c r="L56" i="2"/>
  <c r="L47" i="2"/>
  <c r="P41" i="2"/>
  <c r="Q41" i="2" s="1"/>
  <c r="R41" i="2" s="1"/>
  <c r="S41" i="2" s="1"/>
  <c r="T41" i="2" s="1"/>
  <c r="U41" i="2" s="1"/>
  <c r="V41" i="2" s="1"/>
  <c r="W41" i="2" s="1"/>
  <c r="X41" i="2" s="1"/>
  <c r="Y41" i="2" s="1"/>
  <c r="Z41" i="2" s="1"/>
  <c r="AA41" i="2" s="1"/>
  <c r="AB41" i="2" s="1"/>
  <c r="AC41" i="2" s="1"/>
  <c r="AD41" i="2" s="1"/>
  <c r="AE41" i="2" s="1"/>
  <c r="AF41" i="2" s="1"/>
  <c r="AG41" i="2" s="1"/>
  <c r="AH41" i="2" s="1"/>
  <c r="AI41" i="2" s="1"/>
  <c r="AJ41" i="2" s="1"/>
  <c r="AK41" i="2" s="1"/>
  <c r="AL41" i="2" s="1"/>
  <c r="AM41" i="2" s="1"/>
  <c r="AN41" i="2" s="1"/>
  <c r="O41" i="2"/>
</calcChain>
</file>

<file path=xl/sharedStrings.xml><?xml version="1.0" encoding="utf-8"?>
<sst xmlns="http://schemas.openxmlformats.org/spreadsheetml/2006/main" count="65" uniqueCount="38">
  <si>
    <t>user inputs for sum of lognormals</t>
  </si>
  <si>
    <t>scaling</t>
  </si>
  <si>
    <t>stored data</t>
  </si>
  <si>
    <r>
      <t>q</t>
    </r>
    <r>
      <rPr>
        <vertAlign val="subscript"/>
        <sz val="11"/>
        <color theme="1"/>
        <rFont val="Calibri"/>
        <family val="2"/>
        <scheme val="minor"/>
      </rPr>
      <t>0.5</t>
    </r>
  </si>
  <si>
    <r>
      <t>q</t>
    </r>
    <r>
      <rPr>
        <vertAlign val="subscript"/>
        <sz val="11"/>
        <color theme="1"/>
        <rFont val="Calibri"/>
        <family val="2"/>
        <scheme val="minor"/>
      </rPr>
      <t>pHi</t>
    </r>
  </si>
  <si>
    <t>pHi</t>
  </si>
  <si>
    <t>n</t>
  </si>
  <si>
    <t>constants</t>
  </si>
  <si>
    <t>a</t>
  </si>
  <si>
    <r>
      <t>shape list (q</t>
    </r>
    <r>
      <rPr>
        <vertAlign val="subscript"/>
        <sz val="11"/>
        <color theme="1"/>
        <rFont val="Calibri"/>
        <family val="2"/>
        <scheme val="minor"/>
      </rPr>
      <t>0.9</t>
    </r>
    <r>
      <rPr>
        <sz val="11"/>
        <color theme="1"/>
        <rFont val="Calibri"/>
        <family val="2"/>
        <scheme val="minor"/>
      </rPr>
      <t>/q</t>
    </r>
    <r>
      <rPr>
        <vertAlign val="subscript"/>
        <sz val="11"/>
        <color theme="1"/>
        <rFont val="Calibri"/>
        <family val="2"/>
        <scheme val="minor"/>
      </rPr>
      <t>0.5</t>
    </r>
    <r>
      <rPr>
        <sz val="11"/>
        <color theme="1"/>
        <rFont val="Calibri"/>
        <family val="2"/>
        <scheme val="minor"/>
      </rPr>
      <t>)</t>
    </r>
  </si>
  <si>
    <r>
      <t>Y</t>
    </r>
    <r>
      <rPr>
        <vertAlign val="superscript"/>
        <sz val="11"/>
        <color theme="1"/>
        <rFont val="Calibri"/>
        <family val="2"/>
        <scheme val="minor"/>
      </rPr>
      <t>-1</t>
    </r>
  </si>
  <si>
    <r>
      <t>(1.1&lt;=q</t>
    </r>
    <r>
      <rPr>
        <i/>
        <vertAlign val="subscript"/>
        <sz val="10"/>
        <color theme="1"/>
        <rFont val="Calibri"/>
        <family val="2"/>
        <scheme val="minor"/>
      </rPr>
      <t>0.9</t>
    </r>
    <r>
      <rPr>
        <i/>
        <sz val="10"/>
        <color theme="1"/>
        <rFont val="Calibri"/>
        <family val="2"/>
        <scheme val="minor"/>
      </rPr>
      <t>/q</t>
    </r>
    <r>
      <rPr>
        <i/>
        <vertAlign val="subscript"/>
        <sz val="10"/>
        <color theme="1"/>
        <rFont val="Calibri"/>
        <family val="2"/>
        <scheme val="minor"/>
      </rPr>
      <t>0.5</t>
    </r>
    <r>
      <rPr>
        <i/>
        <sz val="10"/>
        <color theme="1"/>
        <rFont val="Calibri"/>
        <family val="2"/>
        <scheme val="minor"/>
      </rPr>
      <t>&lt;=10)</t>
    </r>
  </si>
  <si>
    <t>(1-1000)</t>
  </si>
  <si>
    <t>Prob (y)</t>
  </si>
  <si>
    <t>CDF (x)</t>
  </si>
  <si>
    <t>PDF (y')</t>
  </si>
  <si>
    <t>formulas may be copied down</t>
  </si>
  <si>
    <t>Table of Quantiles (Q) -- average of n IID samples over 1 million trials</t>
  </si>
  <si>
    <t>Mathematica: convolution 2.1 all in one 1 mm lognormal triangular</t>
  </si>
  <si>
    <t>shape</t>
  </si>
  <si>
    <t>cum</t>
  </si>
  <si>
    <r>
      <t>(q</t>
    </r>
    <r>
      <rPr>
        <vertAlign val="subscript"/>
        <sz val="11"/>
        <color theme="1"/>
        <rFont val="Calibri"/>
        <family val="2"/>
        <scheme val="minor"/>
      </rPr>
      <t>0.9</t>
    </r>
    <r>
      <rPr>
        <sz val="11"/>
        <color theme="1"/>
        <rFont val="Calibri"/>
        <family val="2"/>
        <scheme val="minor"/>
      </rPr>
      <t>/q</t>
    </r>
    <r>
      <rPr>
        <vertAlign val="subscript"/>
        <sz val="11"/>
        <color theme="1"/>
        <rFont val="Calibri"/>
        <family val="2"/>
        <scheme val="minor"/>
      </rPr>
      <t>0.5)</t>
    </r>
  </si>
  <si>
    <t>prob</t>
  </si>
  <si>
    <t>user inputs for sum of triangulars</t>
  </si>
  <si>
    <t xml:space="preserve">scaling </t>
  </si>
  <si>
    <t>lo bound</t>
  </si>
  <si>
    <t>mode</t>
  </si>
  <si>
    <t>hi bound</t>
  </si>
  <si>
    <t>shape list (mode)</t>
  </si>
  <si>
    <t>n (2-1000)</t>
  </si>
  <si>
    <t>inputs for sum of triangulars</t>
  </si>
  <si>
    <t>sum of n IID lognormals</t>
  </si>
  <si>
    <t>chart data</t>
  </si>
  <si>
    <t>logit metalog parameters</t>
  </si>
  <si>
    <t>y</t>
  </si>
  <si>
    <t>x</t>
  </si>
  <si>
    <t>chart titles</t>
  </si>
  <si>
    <t>log metalog parameters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</si>
</sst>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0.000"/>
    <numFmt numFmtId="166" formatCode="0.0000"/>
  </numFmts>
  <fonts count="13" x14ac:knownFonts="1">
    <font>
      <sz val="11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vertAlign val="subscript"/>
      <sz val="10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FF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FF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0" borderId="0" xfId="0" applyFont="1"/>
    <xf numFmtId="0" fontId="0" fillId="2" borderId="1" xfId="0" applyFill="1" applyBorder="1" applyAlignment="1">
      <alignment horizontal="centerContinuous"/>
    </xf>
    <xf numFmtId="0" fontId="0" fillId="2" borderId="2" xfId="0" applyFill="1" applyBorder="1" applyAlignment="1">
      <alignment horizontal="centerContinuous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Continuous"/>
    </xf>
    <xf numFmtId="0" fontId="0" fillId="2" borderId="5" xfId="0" applyFill="1" applyBorder="1" applyAlignment="1">
      <alignment horizontal="centerContinuous"/>
    </xf>
    <xf numFmtId="0" fontId="0" fillId="2" borderId="6" xfId="0" applyFill="1" applyBorder="1" applyAlignment="1">
      <alignment horizontal="centerContinuous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4" fillId="0" borderId="0" xfId="0" applyFont="1" applyAlignment="1">
      <alignment horizontal="center"/>
    </xf>
    <xf numFmtId="2" fontId="0" fillId="2" borderId="3" xfId="0" applyNumberFormat="1" applyFill="1" applyBorder="1" applyAlignment="1">
      <alignment horizontal="center"/>
    </xf>
    <xf numFmtId="2" fontId="0" fillId="2" borderId="11" xfId="0" applyNumberFormat="1" applyFill="1" applyBorder="1" applyAlignment="1">
      <alignment horizontal="center"/>
    </xf>
    <xf numFmtId="2" fontId="0" fillId="2" borderId="10" xfId="0" applyNumberForma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2" fontId="0" fillId="2" borderId="13" xfId="0" applyNumberFormat="1" applyFill="1" applyBorder="1" applyAlignment="1">
      <alignment horizontal="center"/>
    </xf>
    <xf numFmtId="164" fontId="0" fillId="2" borderId="12" xfId="0" applyNumberFormat="1" applyFill="1" applyBorder="1" applyAlignment="1">
      <alignment horizontal="center"/>
    </xf>
    <xf numFmtId="164" fontId="0" fillId="2" borderId="0" xfId="0" applyNumberFormat="1" applyFill="1" applyBorder="1" applyAlignment="1">
      <alignment horizontal="center"/>
    </xf>
    <xf numFmtId="164" fontId="0" fillId="2" borderId="13" xfId="0" applyNumberFormat="1" applyFill="1" applyBorder="1" applyAlignment="1">
      <alignment horizontal="center"/>
    </xf>
    <xf numFmtId="0" fontId="0" fillId="2" borderId="14" xfId="0" applyFill="1" applyBorder="1" applyAlignment="1">
      <alignment horizontal="centerContinuous"/>
    </xf>
    <xf numFmtId="0" fontId="7" fillId="0" borderId="0" xfId="0" applyFont="1" applyAlignment="1">
      <alignment horizontal="centerContinuous"/>
    </xf>
    <xf numFmtId="164" fontId="0" fillId="2" borderId="7" xfId="0" applyNumberFormat="1" applyFill="1" applyBorder="1" applyAlignment="1">
      <alignment horizontal="center"/>
    </xf>
    <xf numFmtId="1" fontId="0" fillId="2" borderId="8" xfId="0" applyNumberFormat="1" applyFill="1" applyBorder="1" applyAlignment="1">
      <alignment horizontal="center"/>
    </xf>
    <xf numFmtId="164" fontId="0" fillId="2" borderId="9" xfId="0" applyNumberFormat="1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6" fillId="2" borderId="7" xfId="0" applyFont="1" applyFill="1" applyBorder="1" applyAlignment="1">
      <alignment horizontal="center"/>
    </xf>
    <xf numFmtId="2" fontId="0" fillId="2" borderId="9" xfId="0" applyNumberFormat="1" applyFill="1" applyBorder="1" applyAlignment="1">
      <alignment horizontal="center"/>
    </xf>
    <xf numFmtId="0" fontId="6" fillId="2" borderId="6" xfId="0" applyFont="1" applyFill="1" applyBorder="1" applyAlignment="1">
      <alignment horizontal="right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6" fillId="2" borderId="12" xfId="0" applyFont="1" applyFill="1" applyBorder="1" applyAlignment="1">
      <alignment horizontal="centerContinuous"/>
    </xf>
    <xf numFmtId="0" fontId="6" fillId="2" borderId="0" xfId="0" applyFont="1" applyFill="1" applyBorder="1" applyAlignment="1">
      <alignment horizontal="centerContinuous"/>
    </xf>
    <xf numFmtId="0" fontId="6" fillId="2" borderId="13" xfId="0" applyFont="1" applyFill="1" applyBorder="1" applyAlignment="1">
      <alignment horizontal="centerContinuous"/>
    </xf>
    <xf numFmtId="0" fontId="6" fillId="2" borderId="11" xfId="0" applyFont="1" applyFill="1" applyBorder="1" applyAlignment="1">
      <alignment horizontal="centerContinuous"/>
    </xf>
    <xf numFmtId="0" fontId="6" fillId="2" borderId="10" xfId="0" applyFon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65" fontId="0" fillId="2" borderId="2" xfId="0" applyNumberFormat="1" applyFill="1" applyBorder="1" applyAlignment="1">
      <alignment horizontal="center"/>
    </xf>
    <xf numFmtId="2" fontId="0" fillId="2" borderId="14" xfId="0" applyNumberFormat="1" applyFill="1" applyBorder="1" applyAlignment="1">
      <alignment horizontal="center"/>
    </xf>
    <xf numFmtId="2" fontId="0" fillId="2" borderId="2" xfId="0" applyNumberFormat="1" applyFill="1" applyBorder="1" applyAlignment="1">
      <alignment horizontal="center"/>
    </xf>
    <xf numFmtId="2" fontId="6" fillId="2" borderId="2" xfId="0" applyNumberFormat="1" applyFont="1" applyFill="1" applyBorder="1" applyAlignment="1">
      <alignment horizontal="center"/>
    </xf>
    <xf numFmtId="2" fontId="0" fillId="2" borderId="12" xfId="0" applyNumberFormat="1" applyFill="1" applyBorder="1" applyAlignment="1">
      <alignment horizontal="center"/>
    </xf>
    <xf numFmtId="165" fontId="0" fillId="2" borderId="13" xfId="0" applyNumberFormat="1" applyFill="1" applyBorder="1" applyAlignment="1">
      <alignment horizontal="center"/>
    </xf>
    <xf numFmtId="2" fontId="0" fillId="2" borderId="0" xfId="0" applyNumberFormat="1" applyFill="1" applyBorder="1" applyAlignment="1">
      <alignment horizontal="center"/>
    </xf>
    <xf numFmtId="2" fontId="6" fillId="2" borderId="13" xfId="0" applyNumberFormat="1" applyFont="1" applyFill="1" applyBorder="1" applyAlignment="1">
      <alignment horizontal="center"/>
    </xf>
    <xf numFmtId="2" fontId="0" fillId="2" borderId="7" xfId="0" applyNumberFormat="1" applyFill="1" applyBorder="1" applyAlignment="1">
      <alignment horizontal="center"/>
    </xf>
    <xf numFmtId="165" fontId="0" fillId="2" borderId="9" xfId="0" applyNumberFormat="1" applyFill="1" applyBorder="1" applyAlignment="1">
      <alignment horizontal="center"/>
    </xf>
    <xf numFmtId="2" fontId="0" fillId="2" borderId="8" xfId="0" applyNumberFormat="1" applyFill="1" applyBorder="1" applyAlignment="1">
      <alignment horizontal="center"/>
    </xf>
    <xf numFmtId="2" fontId="6" fillId="2" borderId="9" xfId="0" applyNumberFormat="1" applyFont="1" applyFill="1" applyBorder="1" applyAlignment="1">
      <alignment horizontal="center"/>
    </xf>
    <xf numFmtId="2" fontId="8" fillId="2" borderId="1" xfId="0" applyNumberFormat="1" applyFont="1" applyFill="1" applyBorder="1" applyAlignment="1">
      <alignment horizontal="center"/>
    </xf>
    <xf numFmtId="165" fontId="8" fillId="2" borderId="2" xfId="0" applyNumberFormat="1" applyFont="1" applyFill="1" applyBorder="1" applyAlignment="1">
      <alignment horizontal="center"/>
    </xf>
    <xf numFmtId="2" fontId="8" fillId="2" borderId="14" xfId="0" applyNumberFormat="1" applyFont="1" applyFill="1" applyBorder="1" applyAlignment="1">
      <alignment horizontal="center"/>
    </xf>
    <xf numFmtId="2" fontId="8" fillId="2" borderId="2" xfId="0" applyNumberFormat="1" applyFont="1" applyFill="1" applyBorder="1" applyAlignment="1">
      <alignment horizontal="center"/>
    </xf>
    <xf numFmtId="2" fontId="8" fillId="2" borderId="12" xfId="0" applyNumberFormat="1" applyFont="1" applyFill="1" applyBorder="1" applyAlignment="1">
      <alignment horizontal="center"/>
    </xf>
    <xf numFmtId="165" fontId="8" fillId="2" borderId="13" xfId="0" applyNumberFormat="1" applyFont="1" applyFill="1" applyBorder="1" applyAlignment="1">
      <alignment horizontal="center"/>
    </xf>
    <xf numFmtId="2" fontId="8" fillId="2" borderId="0" xfId="0" applyNumberFormat="1" applyFont="1" applyFill="1" applyBorder="1" applyAlignment="1">
      <alignment horizontal="center"/>
    </xf>
    <xf numFmtId="2" fontId="8" fillId="2" borderId="13" xfId="0" applyNumberFormat="1" applyFont="1" applyFill="1" applyBorder="1" applyAlignment="1">
      <alignment horizontal="center"/>
    </xf>
    <xf numFmtId="2" fontId="8" fillId="2" borderId="7" xfId="0" applyNumberFormat="1" applyFont="1" applyFill="1" applyBorder="1" applyAlignment="1">
      <alignment horizontal="center"/>
    </xf>
    <xf numFmtId="165" fontId="8" fillId="2" borderId="9" xfId="0" applyNumberFormat="1" applyFont="1" applyFill="1" applyBorder="1" applyAlignment="1">
      <alignment horizontal="center"/>
    </xf>
    <xf numFmtId="2" fontId="8" fillId="2" borderId="8" xfId="0" applyNumberFormat="1" applyFont="1" applyFill="1" applyBorder="1" applyAlignment="1">
      <alignment horizontal="center"/>
    </xf>
    <xf numFmtId="2" fontId="8" fillId="2" borderId="9" xfId="0" applyNumberFormat="1" applyFon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9" fillId="0" borderId="0" xfId="0" applyFont="1"/>
    <xf numFmtId="0" fontId="6" fillId="2" borderId="1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left"/>
    </xf>
    <xf numFmtId="2" fontId="7" fillId="2" borderId="1" xfId="0" applyNumberFormat="1" applyFont="1" applyFill="1" applyBorder="1" applyAlignment="1">
      <alignment horizontal="center"/>
    </xf>
    <xf numFmtId="165" fontId="7" fillId="2" borderId="2" xfId="0" applyNumberFormat="1" applyFont="1" applyFill="1" applyBorder="1" applyAlignment="1">
      <alignment horizontal="center"/>
    </xf>
    <xf numFmtId="2" fontId="7" fillId="2" borderId="14" xfId="0" applyNumberFormat="1" applyFont="1" applyFill="1" applyBorder="1" applyAlignment="1">
      <alignment horizontal="center"/>
    </xf>
    <xf numFmtId="2" fontId="7" fillId="2" borderId="2" xfId="0" applyNumberFormat="1" applyFont="1" applyFill="1" applyBorder="1" applyAlignment="1">
      <alignment horizontal="center"/>
    </xf>
    <xf numFmtId="2" fontId="7" fillId="2" borderId="12" xfId="0" applyNumberFormat="1" applyFont="1" applyFill="1" applyBorder="1" applyAlignment="1">
      <alignment horizontal="center"/>
    </xf>
    <xf numFmtId="165" fontId="7" fillId="2" borderId="13" xfId="0" applyNumberFormat="1" applyFont="1" applyFill="1" applyBorder="1" applyAlignment="1">
      <alignment horizontal="center"/>
    </xf>
    <xf numFmtId="2" fontId="7" fillId="2" borderId="0" xfId="0" applyNumberFormat="1" applyFont="1" applyFill="1" applyBorder="1" applyAlignment="1">
      <alignment horizontal="center"/>
    </xf>
    <xf numFmtId="2" fontId="7" fillId="2" borderId="13" xfId="0" applyNumberFormat="1" applyFont="1" applyFill="1" applyBorder="1" applyAlignment="1">
      <alignment horizontal="center"/>
    </xf>
    <xf numFmtId="2" fontId="7" fillId="2" borderId="7" xfId="0" applyNumberFormat="1" applyFont="1" applyFill="1" applyBorder="1" applyAlignment="1">
      <alignment horizontal="center"/>
    </xf>
    <xf numFmtId="165" fontId="7" fillId="2" borderId="9" xfId="0" applyNumberFormat="1" applyFont="1" applyFill="1" applyBorder="1" applyAlignment="1">
      <alignment horizontal="center"/>
    </xf>
    <xf numFmtId="2" fontId="7" fillId="2" borderId="8" xfId="0" applyNumberFormat="1" applyFont="1" applyFill="1" applyBorder="1" applyAlignment="1">
      <alignment horizontal="center"/>
    </xf>
    <xf numFmtId="2" fontId="7" fillId="2" borderId="9" xfId="0" applyNumberFormat="1" applyFont="1" applyFill="1" applyBorder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165" fontId="0" fillId="3" borderId="3" xfId="0" applyNumberFormat="1" applyFill="1" applyBorder="1" applyAlignment="1">
      <alignment horizontal="center"/>
    </xf>
    <xf numFmtId="2" fontId="0" fillId="4" borderId="11" xfId="0" applyNumberFormat="1" applyFill="1" applyBorder="1" applyAlignment="1">
      <alignment horizontal="center"/>
    </xf>
    <xf numFmtId="0" fontId="0" fillId="2" borderId="0" xfId="0" applyFill="1" applyBorder="1" applyAlignment="1">
      <alignment horizontal="centerContinuous"/>
    </xf>
    <xf numFmtId="0" fontId="0" fillId="2" borderId="1" xfId="0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2" borderId="12" xfId="0" applyFill="1" applyBorder="1" applyAlignment="1">
      <alignment horizontal="centerContinuous"/>
    </xf>
    <xf numFmtId="0" fontId="0" fillId="2" borderId="13" xfId="0" applyFill="1" applyBorder="1" applyAlignment="1">
      <alignment horizontal="centerContinuous"/>
    </xf>
    <xf numFmtId="0" fontId="0" fillId="2" borderId="7" xfId="0" applyFill="1" applyBorder="1" applyAlignment="1">
      <alignment horizontal="centerContinuous"/>
    </xf>
    <xf numFmtId="0" fontId="0" fillId="2" borderId="8" xfId="0" applyFill="1" applyBorder="1" applyAlignment="1">
      <alignment horizontal="centerContinuous"/>
    </xf>
    <xf numFmtId="0" fontId="0" fillId="2" borderId="9" xfId="0" applyFill="1" applyBorder="1" applyAlignment="1">
      <alignment horizontal="centerContinuous"/>
    </xf>
    <xf numFmtId="0" fontId="0" fillId="2" borderId="14" xfId="0" applyFill="1" applyBorder="1" applyAlignment="1">
      <alignment horizontal="left"/>
    </xf>
    <xf numFmtId="0" fontId="0" fillId="2" borderId="2" xfId="0" applyFill="1" applyBorder="1" applyAlignment="1">
      <alignment horizontal="right"/>
    </xf>
    <xf numFmtId="0" fontId="0" fillId="2" borderId="12" xfId="0" applyFill="1" applyBorder="1" applyAlignment="1">
      <alignment horizontal="left"/>
    </xf>
    <xf numFmtId="0" fontId="0" fillId="2" borderId="13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13" xfId="0" applyFill="1" applyBorder="1" applyAlignment="1">
      <alignment horizontal="right"/>
    </xf>
    <xf numFmtId="0" fontId="4" fillId="2" borderId="0" xfId="0" applyFont="1" applyFill="1" applyAlignment="1">
      <alignment horizontal="centerContinuous"/>
    </xf>
    <xf numFmtId="0" fontId="0" fillId="0" borderId="0" xfId="0" quotePrefix="1"/>
    <xf numFmtId="0" fontId="8" fillId="5" borderId="0" xfId="0" applyFont="1" applyFill="1" applyBorder="1" applyAlignment="1">
      <alignment horizontal="centerContinuous"/>
    </xf>
    <xf numFmtId="165" fontId="0" fillId="2" borderId="1" xfId="0" applyNumberFormat="1" applyFill="1" applyBorder="1" applyAlignment="1">
      <alignment horizontal="center"/>
    </xf>
    <xf numFmtId="165" fontId="0" fillId="2" borderId="12" xfId="0" applyNumberFormat="1" applyFill="1" applyBorder="1" applyAlignment="1">
      <alignment horizontal="center"/>
    </xf>
    <xf numFmtId="165" fontId="0" fillId="2" borderId="7" xfId="0" applyNumberFormat="1" applyFill="1" applyBorder="1" applyAlignment="1">
      <alignment horizontal="center"/>
    </xf>
    <xf numFmtId="0" fontId="0" fillId="5" borderId="8" xfId="0" applyFill="1" applyBorder="1"/>
    <xf numFmtId="0" fontId="0" fillId="2" borderId="0" xfId="0" applyFill="1" applyBorder="1" applyAlignment="1">
      <alignment horizontal="center"/>
    </xf>
    <xf numFmtId="164" fontId="0" fillId="2" borderId="14" xfId="0" applyNumberFormat="1" applyFill="1" applyBorder="1" applyAlignment="1">
      <alignment horizontal="center"/>
    </xf>
    <xf numFmtId="0" fontId="10" fillId="2" borderId="1" xfId="0" applyFont="1" applyFill="1" applyBorder="1" applyAlignment="1">
      <alignment horizontal="centerContinuous"/>
    </xf>
    <xf numFmtId="165" fontId="0" fillId="2" borderId="1" xfId="0" applyNumberFormat="1" applyFill="1" applyBorder="1" applyAlignment="1">
      <alignment horizontal="centerContinuous"/>
    </xf>
    <xf numFmtId="165" fontId="0" fillId="2" borderId="7" xfId="0" applyNumberFormat="1" applyFill="1" applyBorder="1" applyAlignment="1">
      <alignment horizontal="centerContinuous"/>
    </xf>
    <xf numFmtId="0" fontId="0" fillId="5" borderId="0" xfId="0" applyFill="1"/>
    <xf numFmtId="164" fontId="0" fillId="2" borderId="2" xfId="0" applyNumberFormat="1" applyFill="1" applyBorder="1" applyAlignment="1">
      <alignment horizontal="centerContinuous"/>
    </xf>
    <xf numFmtId="164" fontId="0" fillId="2" borderId="9" xfId="0" applyNumberFormat="1" applyFill="1" applyBorder="1" applyAlignment="1">
      <alignment horizontal="centerContinuous"/>
    </xf>
    <xf numFmtId="0" fontId="11" fillId="5" borderId="0" xfId="0" applyFont="1" applyFill="1"/>
    <xf numFmtId="0" fontId="12" fillId="5" borderId="0" xfId="0" applyFont="1" applyFill="1"/>
    <xf numFmtId="166" fontId="0" fillId="2" borderId="1" xfId="0" applyNumberFormat="1" applyFill="1" applyBorder="1" applyAlignment="1">
      <alignment horizontal="center"/>
    </xf>
    <xf numFmtId="166" fontId="0" fillId="2" borderId="12" xfId="0" applyNumberFormat="1" applyFill="1" applyBorder="1" applyAlignment="1">
      <alignment horizontal="center"/>
    </xf>
    <xf numFmtId="164" fontId="0" fillId="2" borderId="8" xfId="0" applyNumberFormat="1" applyFill="1" applyBorder="1" applyAlignment="1">
      <alignment horizontal="center"/>
    </xf>
  </cellXfs>
  <cellStyles count="1">
    <cellStyle name="Normal" xfId="0" builtinId="0"/>
  </cellStyles>
  <dxfs count="2">
    <dxf>
      <font>
        <strike val="0"/>
        <color rgb="FFCCFFCC"/>
      </font>
    </dxf>
    <dxf>
      <font>
        <strike val="0"/>
        <color rgb="FFCCFFCC"/>
      </font>
    </dxf>
  </dxfs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'Metalog IID lognormal'!$H$84</c:f>
          <c:strCache>
            <c:ptCount val="1"/>
          </c:strCache>
        </c:strRef>
      </c:tx>
      <c:layout>
        <c:manualLayout>
          <c:xMode val="edge"/>
          <c:yMode val="edge"/>
          <c:x val="0.23280992560493699"/>
          <c:y val="5.0719571807904602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850465980909012"/>
          <c:y val="0.16618099458619173"/>
          <c:w val="0.83411585599992777"/>
          <c:h val="0.68024319219475959"/>
        </c:manualLayout>
      </c:layout>
      <c:scatterChart>
        <c:scatterStyle val="smoothMarker"/>
        <c:varyColors val="0"/>
        <c:ser>
          <c:idx val="4"/>
          <c:order val="0"/>
          <c:tx>
            <c:v>lognormal CDF</c:v>
          </c:tx>
          <c:spPr>
            <a:ln w="25400">
              <a:solidFill>
                <a:schemeClr val="accent1">
                  <a:lumMod val="75000"/>
                </a:schemeClr>
              </a:solidFill>
            </a:ln>
          </c:spPr>
          <c:marker>
            <c:symbol val="none"/>
          </c:marker>
          <c:xVal>
            <c:numRef>
              <c:f>'Metalog IID lognormal'!$E$72:$E$178</c:f>
              <c:numCache>
                <c:formatCode>General</c:formatCode>
                <c:ptCount val="107"/>
              </c:numCache>
            </c:numRef>
          </c:xVal>
          <c:yVal>
            <c:numRef>
              <c:f>'Metalog IID lognormal'!$D$72:$D$178</c:f>
              <c:numCache>
                <c:formatCode>General</c:formatCode>
                <c:ptCount val="107"/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0-BB1A-4E63-BF86-46F9132734AE}"/>
            </c:ext>
          </c:extLst>
        </c:ser>
        <c:ser>
          <c:idx val="0"/>
          <c:order val="1"/>
          <c:tx>
            <c:v>lognormal parameters</c:v>
          </c:tx>
          <c:spPr>
            <a:ln>
              <a:noFill/>
            </a:ln>
          </c:spPr>
          <c:marker>
            <c:symbol val="circle"/>
            <c:size val="6"/>
            <c:spPr>
              <a:solidFill>
                <a:srgbClr val="FFFF00"/>
              </a:solidFill>
            </c:spPr>
          </c:marker>
          <c:xVal>
            <c:numRef>
              <c:f>'Metalog IID lognormal'!$I$72:$I$81</c:f>
              <c:numCache>
                <c:formatCode>General</c:formatCode>
                <c:ptCount val="10"/>
              </c:numCache>
            </c:numRef>
          </c:xVal>
          <c:yVal>
            <c:numRef>
              <c:f>'Metalog IID lognormal'!$H$72:$H$81</c:f>
              <c:numCache>
                <c:formatCode>General</c:formatCode>
                <c:ptCount val="1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B1A-4E63-BF86-46F9132734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6118272"/>
        <c:axId val="226124928"/>
        <c:extLst/>
      </c:scatterChart>
      <c:valAx>
        <c:axId val="226118272"/>
        <c:scaling>
          <c:orientation val="minMax"/>
        </c:scaling>
        <c:delete val="0"/>
        <c:axPos val="b"/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6124928"/>
        <c:crosses val="autoZero"/>
        <c:crossBetween val="midCat"/>
      </c:valAx>
      <c:valAx>
        <c:axId val="226124928"/>
        <c:scaling>
          <c:orientation val="minMax"/>
          <c:max val="1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6118272"/>
        <c:crosses val="autoZero"/>
        <c:crossBetween val="midCat"/>
        <c:maj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chemeClr val="tx1"/>
      </a:solidFill>
      <a:prstDash val="solid"/>
    </a:ln>
  </c:spPr>
  <c:txPr>
    <a:bodyPr/>
    <a:lstStyle/>
    <a:p>
      <a:pPr>
        <a:defRPr sz="3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'Metalog IID lognormal'!$H$85</c:f>
          <c:strCache>
            <c:ptCount val="1"/>
          </c:strCache>
        </c:strRef>
      </c:tx>
      <c:layout>
        <c:manualLayout>
          <c:xMode val="edge"/>
          <c:yMode val="edge"/>
          <c:x val="0.25932007369549309"/>
          <c:y val="5.8857382091042298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358517582503712"/>
          <c:y val="0.16374315761820865"/>
          <c:w val="0.83126553055846675"/>
          <c:h val="0.69150579492170217"/>
        </c:manualLayout>
      </c:layout>
      <c:scatterChart>
        <c:scatterStyle val="smoothMarker"/>
        <c:varyColors val="0"/>
        <c:ser>
          <c:idx val="2"/>
          <c:order val="0"/>
          <c:tx>
            <c:v>lognormal PDF</c:v>
          </c:tx>
          <c:spPr>
            <a:ln w="25400">
              <a:solidFill>
                <a:schemeClr val="accent1">
                  <a:lumMod val="75000"/>
                </a:schemeClr>
              </a:solidFill>
            </a:ln>
          </c:spPr>
          <c:marker>
            <c:symbol val="none"/>
          </c:marker>
          <c:xVal>
            <c:numRef>
              <c:f>'Metalog IID lognormal'!$E$72:$E$178</c:f>
              <c:numCache>
                <c:formatCode>General</c:formatCode>
                <c:ptCount val="107"/>
              </c:numCache>
            </c:numRef>
          </c:xVal>
          <c:yVal>
            <c:numRef>
              <c:f>'Metalog IID lognormal'!$F$72:$F$178</c:f>
              <c:numCache>
                <c:formatCode>General</c:formatCode>
                <c:ptCount val="107"/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0-6630-4A5C-BAD7-D816B0F43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6711424"/>
        <c:axId val="226717696"/>
        <c:extLst/>
      </c:scatterChart>
      <c:valAx>
        <c:axId val="226711424"/>
        <c:scaling>
          <c:orientation val="minMax"/>
        </c:scaling>
        <c:delete val="0"/>
        <c:axPos val="b"/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6717696"/>
        <c:crosses val="autoZero"/>
        <c:crossBetween val="midCat"/>
      </c:valAx>
      <c:valAx>
        <c:axId val="226717696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6711424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'Metalog IID triangular'!$H$85</c:f>
          <c:strCache>
            <c:ptCount val="1"/>
          </c:strCache>
        </c:strRef>
      </c:tx>
      <c:layout>
        <c:manualLayout>
          <c:xMode val="edge"/>
          <c:yMode val="edge"/>
          <c:x val="0.238775622845802"/>
          <c:y val="5.0719571807904602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850465980909012"/>
          <c:y val="0.16618099458619173"/>
          <c:w val="0.83411585599992777"/>
          <c:h val="0.68024319219475959"/>
        </c:manualLayout>
      </c:layout>
      <c:scatterChart>
        <c:scatterStyle val="smoothMarker"/>
        <c:varyColors val="0"/>
        <c:ser>
          <c:idx val="5"/>
          <c:order val="0"/>
          <c:tx>
            <c:v>triangular CDF</c:v>
          </c:tx>
          <c:spPr>
            <a:ln w="25400">
              <a:solidFill>
                <a:schemeClr val="accent1">
                  <a:lumMod val="75000"/>
                </a:schemeClr>
              </a:solidFill>
            </a:ln>
          </c:spPr>
          <c:marker>
            <c:symbol val="none"/>
          </c:marker>
          <c:xVal>
            <c:numRef>
              <c:f>'Metalog IID triangular'!$E$72:$E$178</c:f>
              <c:numCache>
                <c:formatCode>General</c:formatCode>
                <c:ptCount val="107"/>
              </c:numCache>
            </c:numRef>
          </c:xVal>
          <c:yVal>
            <c:numRef>
              <c:f>'Metalog IID triangular'!$D$72:$D$178</c:f>
              <c:numCache>
                <c:formatCode>General</c:formatCode>
                <c:ptCount val="107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523-4618-91EE-3FD0E351CA90}"/>
            </c:ext>
          </c:extLst>
        </c:ser>
        <c:ser>
          <c:idx val="0"/>
          <c:order val="1"/>
          <c:tx>
            <c:v>triangular parameters</c:v>
          </c:tx>
          <c:spPr>
            <a:ln>
              <a:noFill/>
            </a:ln>
          </c:spPr>
          <c:marker>
            <c:symbol val="circle"/>
            <c:size val="6"/>
            <c:spPr>
              <a:solidFill>
                <a:srgbClr val="FFFF00"/>
              </a:solidFill>
            </c:spPr>
          </c:marker>
          <c:xVal>
            <c:numRef>
              <c:f>'Metalog IID triangular'!$I$72:$I$82</c:f>
              <c:numCache>
                <c:formatCode>General</c:formatCode>
                <c:ptCount val="11"/>
              </c:numCache>
            </c:numRef>
          </c:xVal>
          <c:yVal>
            <c:numRef>
              <c:f>'Metalog IID triangular'!$H$72:$H$82</c:f>
              <c:numCache>
                <c:formatCode>General</c:formatCode>
                <c:ptCount val="1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523-4618-91EE-3FD0E351CA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6118272"/>
        <c:axId val="226124928"/>
        <c:extLst/>
      </c:scatterChart>
      <c:valAx>
        <c:axId val="226118272"/>
        <c:scaling>
          <c:orientation val="minMax"/>
        </c:scaling>
        <c:delete val="0"/>
        <c:axPos val="b"/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6124928"/>
        <c:crosses val="autoZero"/>
        <c:crossBetween val="midCat"/>
      </c:valAx>
      <c:valAx>
        <c:axId val="226124928"/>
        <c:scaling>
          <c:orientation val="minMax"/>
          <c:max val="1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6118272"/>
        <c:crosses val="autoZero"/>
        <c:crossBetween val="midCat"/>
        <c:maj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chemeClr val="tx1"/>
      </a:solidFill>
      <a:prstDash val="solid"/>
    </a:ln>
  </c:spPr>
  <c:txPr>
    <a:bodyPr/>
    <a:lstStyle/>
    <a:p>
      <a:pPr>
        <a:defRPr sz="3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'Metalog IID triangular'!$H$86</c:f>
          <c:strCache>
            <c:ptCount val="1"/>
          </c:strCache>
        </c:strRef>
      </c:tx>
      <c:layout>
        <c:manualLayout>
          <c:xMode val="edge"/>
          <c:yMode val="edge"/>
          <c:x val="0.25334578056139068"/>
          <c:y val="5.8857382091042298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358517582503712"/>
          <c:y val="0.16374315761820865"/>
          <c:w val="0.83126553055846675"/>
          <c:h val="0.69150579492170217"/>
        </c:manualLayout>
      </c:layout>
      <c:scatterChart>
        <c:scatterStyle val="smoothMarker"/>
        <c:varyColors val="0"/>
        <c:ser>
          <c:idx val="3"/>
          <c:order val="0"/>
          <c:tx>
            <c:v>triangular PDF</c:v>
          </c:tx>
          <c:spPr>
            <a:ln w="25400">
              <a:solidFill>
                <a:schemeClr val="accent1">
                  <a:lumMod val="75000"/>
                </a:schemeClr>
              </a:solidFill>
            </a:ln>
          </c:spPr>
          <c:marker>
            <c:symbol val="none"/>
          </c:marker>
          <c:xVal>
            <c:numRef>
              <c:f>'Metalog IID triangular'!$E$72:$E$178</c:f>
              <c:numCache>
                <c:formatCode>General</c:formatCode>
                <c:ptCount val="107"/>
              </c:numCache>
            </c:numRef>
          </c:xVal>
          <c:yVal>
            <c:numRef>
              <c:f>'Metalog IID triangular'!$F$72:$F$178</c:f>
              <c:numCache>
                <c:formatCode>General</c:formatCode>
                <c:ptCount val="107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059-4817-BAE7-B567264640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6711424"/>
        <c:axId val="226717696"/>
        <c:extLst/>
      </c:scatterChart>
      <c:valAx>
        <c:axId val="226711424"/>
        <c:scaling>
          <c:orientation val="minMax"/>
        </c:scaling>
        <c:delete val="0"/>
        <c:axPos val="b"/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6717696"/>
        <c:crosses val="autoZero"/>
        <c:crossBetween val="midCat"/>
      </c:valAx>
      <c:valAx>
        <c:axId val="226717696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6711424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'Metalog IID triangular'!$M$515</c:f>
          <c:strCache>
            <c:ptCount val="1"/>
            <c:pt idx="0">
              <c:v>sum-of-2-IID-triangulars cumulative</c:v>
            </c:pt>
          </c:strCache>
        </c:strRef>
      </c:tx>
      <c:layout>
        <c:manualLayout>
          <c:xMode val="edge"/>
          <c:yMode val="edge"/>
          <c:x val="0.238775622845802"/>
          <c:y val="5.0719571807904602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850465980909012"/>
          <c:y val="0.16618099458619173"/>
          <c:w val="0.83411585599992777"/>
          <c:h val="0.68024319219475959"/>
        </c:manualLayout>
      </c:layout>
      <c:scatterChart>
        <c:scatterStyle val="smoothMarker"/>
        <c:varyColors val="0"/>
        <c:ser>
          <c:idx val="5"/>
          <c:order val="0"/>
          <c:tx>
            <c:v>triangular CDF</c:v>
          </c:tx>
          <c:spPr>
            <a:ln w="25400">
              <a:solidFill>
                <a:schemeClr val="accent1">
                  <a:lumMod val="75000"/>
                </a:schemeClr>
              </a:solidFill>
            </a:ln>
          </c:spPr>
          <c:marker>
            <c:symbol val="none"/>
          </c:marker>
          <c:xVal>
            <c:numRef>
              <c:f>'Metalog IID triangular'!$M$266:$M$372</c:f>
              <c:numCache>
                <c:formatCode>0.00</c:formatCode>
                <c:ptCount val="107"/>
                <c:pt idx="0" formatCode="0.0">
                  <c:v>0</c:v>
                </c:pt>
                <c:pt idx="1">
                  <c:v>2.8325141204082525</c:v>
                </c:pt>
                <c:pt idx="2">
                  <c:v>3.6985571821686927</c:v>
                </c:pt>
                <c:pt idx="3">
                  <c:v>4.373579041787508</c:v>
                </c:pt>
                <c:pt idx="4">
                  <c:v>4.9524619075900471</c:v>
                </c:pt>
                <c:pt idx="5">
                  <c:v>5.8758385400958923</c:v>
                </c:pt>
                <c:pt idx="6">
                  <c:v>6.5034481872999228</c:v>
                </c:pt>
                <c:pt idx="7">
                  <c:v>6.9926611213856926</c:v>
                </c:pt>
                <c:pt idx="8">
                  <c:v>7.3984051226769081</c:v>
                </c:pt>
                <c:pt idx="9">
                  <c:v>7.7472385907141676</c:v>
                </c:pt>
                <c:pt idx="10">
                  <c:v>8.0543626092753158</c:v>
                </c:pt>
                <c:pt idx="11">
                  <c:v>8.3294408748352158</c:v>
                </c:pt>
                <c:pt idx="12">
                  <c:v>8.5790735412042682</c:v>
                </c:pt>
                <c:pt idx="13">
                  <c:v>8.8080083901647459</c:v>
                </c:pt>
                <c:pt idx="14">
                  <c:v>9.0197966277569108</c:v>
                </c:pt>
                <c:pt idx="15">
                  <c:v>9.2171759673179814</c:v>
                </c:pt>
                <c:pt idx="16">
                  <c:v>9.4023081174356324</c:v>
                </c:pt>
                <c:pt idx="17">
                  <c:v>9.5769332389869568</c:v>
                </c:pt>
                <c:pt idx="18">
                  <c:v>9.7424744471061882</c:v>
                </c:pt>
                <c:pt idx="19">
                  <c:v>9.9001108942775051</c:v>
                </c:pt>
                <c:pt idx="20">
                  <c:v>10.050830339341021</c:v>
                </c:pt>
                <c:pt idx="21">
                  <c:v>10.195467886957637</c:v>
                </c:pt>
                <c:pt idx="22">
                  <c:v>10.334735142357072</c:v>
                </c:pt>
                <c:pt idx="23">
                  <c:v>10.469242560849825</c:v>
                </c:pt>
                <c:pt idx="24">
                  <c:v>10.599516861678882</c:v>
                </c:pt>
                <c:pt idx="25">
                  <c:v>10.726014793994251</c:v>
                </c:pt>
                <c:pt idx="26">
                  <c:v>10.849134160950641</c:v>
                </c:pt>
                <c:pt idx="27">
                  <c:v>10.969222751518942</c:v>
                </c:pt>
                <c:pt idx="28">
                  <c:v>11.086585653768864</c:v>
                </c:pt>
                <c:pt idx="29">
                  <c:v>11.201491300511314</c:v>
                </c:pt>
                <c:pt idx="30">
                  <c:v>11.314176510851347</c:v>
                </c:pt>
                <c:pt idx="31">
                  <c:v>11.424850728147376</c:v>
                </c:pt>
                <c:pt idx="32">
                  <c:v>11.53369960869532</c:v>
                </c:pt>
                <c:pt idx="33">
                  <c:v>11.6408880811952</c:v>
                </c:pt>
                <c:pt idx="34">
                  <c:v>11.746562971330469</c:v>
                </c:pt>
                <c:pt idx="35">
                  <c:v>11.850855266255852</c:v>
                </c:pt>
                <c:pt idx="36">
                  <c:v>11.95388207880468</c:v>
                </c:pt>
                <c:pt idx="37">
                  <c:v>12.055748359622777</c:v>
                </c:pt>
                <c:pt idx="38">
                  <c:v>12.156548396370589</c:v>
                </c:pt>
                <c:pt idx="39">
                  <c:v>12.256367131995685</c:v>
                </c:pt>
                <c:pt idx="40">
                  <c:v>12.355281328412197</c:v>
                </c:pt>
                <c:pt idx="41">
                  <c:v>12.453360597396333</c:v>
                </c:pt>
                <c:pt idx="42">
                  <c:v>12.550668316865895</c:v>
                </c:pt>
                <c:pt idx="43">
                  <c:v>12.647262447765602</c:v>
                </c:pt>
                <c:pt idx="44">
                  <c:v>12.743196264383217</c:v>
                </c:pt>
                <c:pt idx="45">
                  <c:v>12.838519008961738</c:v>
                </c:pt>
                <c:pt idx="46">
                  <c:v>12.933276479863403</c:v>
                </c:pt>
                <c:pt idx="47">
                  <c:v>13.027511561213672</c:v>
                </c:pt>
                <c:pt idx="48">
                  <c:v>13.121264700854963</c:v>
                </c:pt>
                <c:pt idx="49">
                  <c:v>13.2145743425282</c:v>
                </c:pt>
                <c:pt idx="50">
                  <c:v>13.307477317441883</c:v>
                </c:pt>
                <c:pt idx="51">
                  <c:v>13.400009199757164</c:v>
                </c:pt>
                <c:pt idx="52">
                  <c:v>13.492204629991667</c:v>
                </c:pt>
                <c:pt idx="53">
                  <c:v>13.584097609907943</c:v>
                </c:pt>
                <c:pt idx="54">
                  <c:v>13.675721772090817</c:v>
                </c:pt>
                <c:pt idx="55">
                  <c:v>13.767110627120976</c:v>
                </c:pt>
                <c:pt idx="56">
                  <c:v>13.858297791011248</c:v>
                </c:pt>
                <c:pt idx="57">
                  <c:v>13.949317195381225</c:v>
                </c:pt>
                <c:pt idx="58">
                  <c:v>14.040203282699869</c:v>
                </c:pt>
                <c:pt idx="59">
                  <c:v>14.130991188821813</c:v>
                </c:pt>
                <c:pt idx="60">
                  <c:v>14.22171691497894</c:v>
                </c:pt>
                <c:pt idx="61">
                  <c:v>14.312417491364309</c:v>
                </c:pt>
                <c:pt idx="62">
                  <c:v>14.403131134461312</c:v>
                </c:pt>
                <c:pt idx="63">
                  <c:v>14.493897400329288</c:v>
                </c:pt>
                <c:pt idx="64">
                  <c:v>14.584757336161836</c:v>
                </c:pt>
                <c:pt idx="65">
                  <c:v>14.67575363259111</c:v>
                </c:pt>
                <c:pt idx="66">
                  <c:v>14.766930779428804</c:v>
                </c:pt>
                <c:pt idx="67">
                  <c:v>14.858335227822435</c:v>
                </c:pt>
                <c:pt idx="68">
                  <c:v>14.950015562178406</c:v>
                </c:pt>
                <c:pt idx="69">
                  <c:v>15.042022685678981</c:v>
                </c:pt>
                <c:pt idx="70">
                  <c:v>15.134410023822735</c:v>
                </c:pt>
                <c:pt idx="71">
                  <c:v>15.227233751178439</c:v>
                </c:pt>
                <c:pt idx="72">
                  <c:v>15.320553047500892</c:v>
                </c:pt>
                <c:pt idx="73">
                  <c:v>15.414430390567864</c:v>
                </c:pt>
                <c:pt idx="74">
                  <c:v>15.508931894630562</c:v>
                </c:pt>
                <c:pt idx="75">
                  <c:v>15.604127705320096</c:v>
                </c:pt>
                <c:pt idx="76">
                  <c:v>15.700092464346755</c:v>
                </c:pt>
                <c:pt idx="77">
                  <c:v>15.796905860538876</c:v>
                </c:pt>
                <c:pt idx="78">
                  <c:v>15.894653287930609</c:v>
                </c:pt>
                <c:pt idx="79">
                  <c:v>15.993426637049035</c:v>
                </c:pt>
                <c:pt idx="80">
                  <c:v>16.093325252729844</c:v>
                </c:pt>
                <c:pt idx="81">
                  <c:v>16.194457101356548</c:v>
                </c:pt>
                <c:pt idx="82">
                  <c:v>16.296940203306853</c:v>
                </c:pt>
                <c:pt idx="83">
                  <c:v>16.400904403965608</c:v>
                </c:pt>
                <c:pt idx="84">
                  <c:v>16.506493580950742</c:v>
                </c:pt>
                <c:pt idx="85">
                  <c:v>16.61386841924994</c:v>
                </c:pt>
                <c:pt idx="86">
                  <c:v>16.723209934475239</c:v>
                </c:pt>
                <c:pt idx="87">
                  <c:v>16.834723994778166</c:v>
                </c:pt>
                <c:pt idx="88">
                  <c:v>16.948647195962206</c:v>
                </c:pt>
                <c:pt idx="89">
                  <c:v>17.065254601475022</c:v>
                </c:pt>
                <c:pt idx="90">
                  <c:v>17.184870102296397</c:v>
                </c:pt>
                <c:pt idx="91">
                  <c:v>17.307880539065327</c:v>
                </c:pt>
                <c:pt idx="92">
                  <c:v>17.434755364986113</c:v>
                </c:pt>
                <c:pt idx="93">
                  <c:v>17.566074711430886</c:v>
                </c:pt>
                <c:pt idx="94">
                  <c:v>17.70257064210486</c:v>
                </c:pt>
                <c:pt idx="95">
                  <c:v>17.845189971551541</c:v>
                </c:pt>
                <c:pt idx="96">
                  <c:v>17.995194131022366</c:v>
                </c:pt>
                <c:pt idx="97">
                  <c:v>18.154326692565803</c:v>
                </c:pt>
                <c:pt idx="98">
                  <c:v>18.325114427287545</c:v>
                </c:pt>
                <c:pt idx="99">
                  <c:v>18.511460306057486</c:v>
                </c:pt>
                <c:pt idx="100">
                  <c:v>18.719972355287467</c:v>
                </c:pt>
                <c:pt idx="101">
                  <c:v>18.963593289546473</c:v>
                </c:pt>
                <c:pt idx="102">
                  <c:v>19.275808757574939</c:v>
                </c:pt>
                <c:pt idx="103">
                  <c:v>19.443443753643887</c:v>
                </c:pt>
                <c:pt idx="104">
                  <c:v>19.610547643924196</c:v>
                </c:pt>
                <c:pt idx="105">
                  <c:v>19.778980276789511</c:v>
                </c:pt>
                <c:pt idx="106">
                  <c:v>20</c:v>
                </c:pt>
              </c:numCache>
            </c:numRef>
          </c:xVal>
          <c:yVal>
            <c:numRef>
              <c:f>'Metalog IID triangular'!$M$155:$M$261</c:f>
              <c:numCache>
                <c:formatCode>0.000</c:formatCode>
                <c:ptCount val="107"/>
                <c:pt idx="0">
                  <c:v>0</c:v>
                </c:pt>
                <c:pt idx="1">
                  <c:v>1E-3</c:v>
                </c:pt>
                <c:pt idx="2">
                  <c:v>3.0000000000000001E-3</c:v>
                </c:pt>
                <c:pt idx="3">
                  <c:v>6.0000000000000001E-3</c:v>
                </c:pt>
                <c:pt idx="4">
                  <c:v>0.01</c:v>
                </c:pt>
                <c:pt idx="5">
                  <c:v>0.02</c:v>
                </c:pt>
                <c:pt idx="6">
                  <c:v>0.03</c:v>
                </c:pt>
                <c:pt idx="7">
                  <c:v>0.04</c:v>
                </c:pt>
                <c:pt idx="8">
                  <c:v>0.05</c:v>
                </c:pt>
                <c:pt idx="9">
                  <c:v>6.0000000000000005E-2</c:v>
                </c:pt>
                <c:pt idx="10">
                  <c:v>7.0000000000000007E-2</c:v>
                </c:pt>
                <c:pt idx="11">
                  <c:v>0.08</c:v>
                </c:pt>
                <c:pt idx="12">
                  <c:v>0.09</c:v>
                </c:pt>
                <c:pt idx="13">
                  <c:v>9.9999999999999992E-2</c:v>
                </c:pt>
                <c:pt idx="14">
                  <c:v>0.10999999999999999</c:v>
                </c:pt>
                <c:pt idx="15">
                  <c:v>0.11999999999999998</c:v>
                </c:pt>
                <c:pt idx="16">
                  <c:v>0.12999999999999998</c:v>
                </c:pt>
                <c:pt idx="17">
                  <c:v>0.13999999999999999</c:v>
                </c:pt>
                <c:pt idx="18">
                  <c:v>0.15</c:v>
                </c:pt>
                <c:pt idx="19">
                  <c:v>0.16</c:v>
                </c:pt>
                <c:pt idx="20">
                  <c:v>0.17</c:v>
                </c:pt>
                <c:pt idx="21">
                  <c:v>0.18000000000000002</c:v>
                </c:pt>
                <c:pt idx="22">
                  <c:v>0.19000000000000003</c:v>
                </c:pt>
                <c:pt idx="23">
                  <c:v>0.20000000000000004</c:v>
                </c:pt>
                <c:pt idx="24">
                  <c:v>0.21000000000000005</c:v>
                </c:pt>
                <c:pt idx="25">
                  <c:v>0.22000000000000006</c:v>
                </c:pt>
                <c:pt idx="26">
                  <c:v>0.23000000000000007</c:v>
                </c:pt>
                <c:pt idx="27">
                  <c:v>0.24000000000000007</c:v>
                </c:pt>
                <c:pt idx="28">
                  <c:v>0.25000000000000006</c:v>
                </c:pt>
                <c:pt idx="29">
                  <c:v>0.26000000000000006</c:v>
                </c:pt>
                <c:pt idx="30">
                  <c:v>0.27000000000000007</c:v>
                </c:pt>
                <c:pt idx="31">
                  <c:v>0.28000000000000008</c:v>
                </c:pt>
                <c:pt idx="32">
                  <c:v>0.29000000000000009</c:v>
                </c:pt>
                <c:pt idx="33">
                  <c:v>0.3000000000000001</c:v>
                </c:pt>
                <c:pt idx="34">
                  <c:v>0.31000000000000011</c:v>
                </c:pt>
                <c:pt idx="35">
                  <c:v>0.32000000000000012</c:v>
                </c:pt>
                <c:pt idx="36">
                  <c:v>0.33000000000000013</c:v>
                </c:pt>
                <c:pt idx="37">
                  <c:v>0.34000000000000014</c:v>
                </c:pt>
                <c:pt idx="38">
                  <c:v>0.35000000000000014</c:v>
                </c:pt>
                <c:pt idx="39">
                  <c:v>0.36000000000000015</c:v>
                </c:pt>
                <c:pt idx="40">
                  <c:v>0.37000000000000016</c:v>
                </c:pt>
                <c:pt idx="41">
                  <c:v>0.38000000000000017</c:v>
                </c:pt>
                <c:pt idx="42">
                  <c:v>0.39000000000000018</c:v>
                </c:pt>
                <c:pt idx="43">
                  <c:v>0.40000000000000019</c:v>
                </c:pt>
                <c:pt idx="44">
                  <c:v>0.4100000000000002</c:v>
                </c:pt>
                <c:pt idx="45">
                  <c:v>0.42000000000000021</c:v>
                </c:pt>
                <c:pt idx="46">
                  <c:v>0.43000000000000022</c:v>
                </c:pt>
                <c:pt idx="47">
                  <c:v>0.44000000000000022</c:v>
                </c:pt>
                <c:pt idx="48">
                  <c:v>0.45000000000000023</c:v>
                </c:pt>
                <c:pt idx="49">
                  <c:v>0.46000000000000024</c:v>
                </c:pt>
                <c:pt idx="50">
                  <c:v>0.47000000000000025</c:v>
                </c:pt>
                <c:pt idx="51">
                  <c:v>0.48000000000000026</c:v>
                </c:pt>
                <c:pt idx="52">
                  <c:v>0.49000000000000027</c:v>
                </c:pt>
                <c:pt idx="53">
                  <c:v>0.50000000000000022</c:v>
                </c:pt>
                <c:pt idx="54">
                  <c:v>0.51000000000000023</c:v>
                </c:pt>
                <c:pt idx="55">
                  <c:v>0.52000000000000024</c:v>
                </c:pt>
                <c:pt idx="56">
                  <c:v>0.53000000000000025</c:v>
                </c:pt>
                <c:pt idx="57">
                  <c:v>0.54000000000000026</c:v>
                </c:pt>
                <c:pt idx="58">
                  <c:v>0.55000000000000027</c:v>
                </c:pt>
                <c:pt idx="59">
                  <c:v>0.56000000000000028</c:v>
                </c:pt>
                <c:pt idx="60">
                  <c:v>0.57000000000000028</c:v>
                </c:pt>
                <c:pt idx="61">
                  <c:v>0.58000000000000029</c:v>
                </c:pt>
                <c:pt idx="62">
                  <c:v>0.5900000000000003</c:v>
                </c:pt>
                <c:pt idx="63">
                  <c:v>0.60000000000000031</c:v>
                </c:pt>
                <c:pt idx="64">
                  <c:v>0.61000000000000032</c:v>
                </c:pt>
                <c:pt idx="65">
                  <c:v>0.62000000000000033</c:v>
                </c:pt>
                <c:pt idx="66">
                  <c:v>0.63000000000000034</c:v>
                </c:pt>
                <c:pt idx="67">
                  <c:v>0.64000000000000035</c:v>
                </c:pt>
                <c:pt idx="68">
                  <c:v>0.65000000000000036</c:v>
                </c:pt>
                <c:pt idx="69">
                  <c:v>0.66000000000000036</c:v>
                </c:pt>
                <c:pt idx="70">
                  <c:v>0.67000000000000037</c:v>
                </c:pt>
                <c:pt idx="71">
                  <c:v>0.68000000000000038</c:v>
                </c:pt>
                <c:pt idx="72">
                  <c:v>0.69000000000000039</c:v>
                </c:pt>
                <c:pt idx="73">
                  <c:v>0.7000000000000004</c:v>
                </c:pt>
                <c:pt idx="74">
                  <c:v>0.71000000000000041</c:v>
                </c:pt>
                <c:pt idx="75">
                  <c:v>0.72000000000000042</c:v>
                </c:pt>
                <c:pt idx="76">
                  <c:v>0.73000000000000043</c:v>
                </c:pt>
                <c:pt idx="77">
                  <c:v>0.74000000000000044</c:v>
                </c:pt>
                <c:pt idx="78">
                  <c:v>0.75000000000000044</c:v>
                </c:pt>
                <c:pt idx="79">
                  <c:v>0.76000000000000045</c:v>
                </c:pt>
                <c:pt idx="80">
                  <c:v>0.77000000000000046</c:v>
                </c:pt>
                <c:pt idx="81">
                  <c:v>0.78000000000000047</c:v>
                </c:pt>
                <c:pt idx="82">
                  <c:v>0.79000000000000048</c:v>
                </c:pt>
                <c:pt idx="83">
                  <c:v>0.80000000000000049</c:v>
                </c:pt>
                <c:pt idx="84">
                  <c:v>0.8100000000000005</c:v>
                </c:pt>
                <c:pt idx="85">
                  <c:v>0.82000000000000051</c:v>
                </c:pt>
                <c:pt idx="86">
                  <c:v>0.83000000000000052</c:v>
                </c:pt>
                <c:pt idx="87">
                  <c:v>0.84000000000000052</c:v>
                </c:pt>
                <c:pt idx="88">
                  <c:v>0.85000000000000053</c:v>
                </c:pt>
                <c:pt idx="89">
                  <c:v>0.86000000000000054</c:v>
                </c:pt>
                <c:pt idx="90">
                  <c:v>0.87000000000000055</c:v>
                </c:pt>
                <c:pt idx="91">
                  <c:v>0.88000000000000056</c:v>
                </c:pt>
                <c:pt idx="92">
                  <c:v>0.89000000000000057</c:v>
                </c:pt>
                <c:pt idx="93">
                  <c:v>0.90000000000000058</c:v>
                </c:pt>
                <c:pt idx="94">
                  <c:v>0.91000000000000059</c:v>
                </c:pt>
                <c:pt idx="95">
                  <c:v>0.9200000000000006</c:v>
                </c:pt>
                <c:pt idx="96">
                  <c:v>0.9300000000000006</c:v>
                </c:pt>
                <c:pt idx="97">
                  <c:v>0.94000000000000061</c:v>
                </c:pt>
                <c:pt idx="98">
                  <c:v>0.95000000000000062</c:v>
                </c:pt>
                <c:pt idx="99">
                  <c:v>0.96000000000000063</c:v>
                </c:pt>
                <c:pt idx="100">
                  <c:v>0.97000000000000064</c:v>
                </c:pt>
                <c:pt idx="101">
                  <c:v>0.98000000000000065</c:v>
                </c:pt>
                <c:pt idx="102">
                  <c:v>0.99000000000000066</c:v>
                </c:pt>
                <c:pt idx="103">
                  <c:v>0.99399999999999999</c:v>
                </c:pt>
                <c:pt idx="104">
                  <c:v>0.997</c:v>
                </c:pt>
                <c:pt idx="105">
                  <c:v>0.999</c:v>
                </c:pt>
                <c:pt idx="10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522-4554-A937-C6DC6BC2D906}"/>
            </c:ext>
          </c:extLst>
        </c:ser>
        <c:ser>
          <c:idx val="0"/>
          <c:order val="1"/>
          <c:tx>
            <c:v>triangular parameters</c:v>
          </c:tx>
          <c:spPr>
            <a:ln>
              <a:noFill/>
            </a:ln>
          </c:spPr>
          <c:marker>
            <c:symbol val="circle"/>
            <c:size val="6"/>
            <c:spPr>
              <a:solidFill>
                <a:srgbClr val="FFFF00"/>
              </a:solidFill>
            </c:spPr>
          </c:marker>
          <c:xVal>
            <c:numRef>
              <c:f>'Metalog IID triangular'!$M$502:$M$512</c:f>
              <c:numCache>
                <c:formatCode>0.0</c:formatCode>
                <c:ptCount val="11"/>
                <c:pt idx="0">
                  <c:v>0</c:v>
                </c:pt>
                <c:pt idx="1">
                  <c:v>2.8325141204082693</c:v>
                </c:pt>
                <c:pt idx="2">
                  <c:v>4.9524619075901057</c:v>
                </c:pt>
                <c:pt idx="3">
                  <c:v>8.8080083901649076</c:v>
                </c:pt>
                <c:pt idx="4">
                  <c:v>11.086585653769053</c:v>
                </c:pt>
                <c:pt idx="5">
                  <c:v>13.584097609908103</c:v>
                </c:pt>
                <c:pt idx="6">
                  <c:v>15.894653287930723</c:v>
                </c:pt>
                <c:pt idx="7">
                  <c:v>17.56607471143095</c:v>
                </c:pt>
                <c:pt idx="8">
                  <c:v>19.27580875757495</c:v>
                </c:pt>
                <c:pt idx="9">
                  <c:v>19.778980276789515</c:v>
                </c:pt>
                <c:pt idx="10">
                  <c:v>20</c:v>
                </c:pt>
              </c:numCache>
            </c:numRef>
          </c:xVal>
          <c:yVal>
            <c:numRef>
              <c:f>'Metalog IID triangular'!$M$488:$M$498</c:f>
              <c:numCache>
                <c:formatCode>0.000</c:formatCode>
                <c:ptCount val="11"/>
                <c:pt idx="0">
                  <c:v>0</c:v>
                </c:pt>
                <c:pt idx="1">
                  <c:v>1E-3</c:v>
                </c:pt>
                <c:pt idx="2">
                  <c:v>0.01</c:v>
                </c:pt>
                <c:pt idx="3">
                  <c:v>9.9999999999999992E-2</c:v>
                </c:pt>
                <c:pt idx="4">
                  <c:v>0.25000000000000006</c:v>
                </c:pt>
                <c:pt idx="5">
                  <c:v>0.50000000000000022</c:v>
                </c:pt>
                <c:pt idx="6">
                  <c:v>0.75000000000000044</c:v>
                </c:pt>
                <c:pt idx="7">
                  <c:v>0.90000000000000058</c:v>
                </c:pt>
                <c:pt idx="8">
                  <c:v>0.99000000000000066</c:v>
                </c:pt>
                <c:pt idx="9">
                  <c:v>0.999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522-4554-A937-C6DC6BC2D9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6118272"/>
        <c:axId val="226124928"/>
        <c:extLst/>
      </c:scatterChart>
      <c:valAx>
        <c:axId val="226118272"/>
        <c:scaling>
          <c:orientation val="minMax"/>
        </c:scaling>
        <c:delete val="0"/>
        <c:axPos val="b"/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6124928"/>
        <c:crosses val="autoZero"/>
        <c:crossBetween val="midCat"/>
      </c:valAx>
      <c:valAx>
        <c:axId val="226124928"/>
        <c:scaling>
          <c:orientation val="minMax"/>
          <c:max val="1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6118272"/>
        <c:crosses val="autoZero"/>
        <c:crossBetween val="midCat"/>
        <c:maj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noFill/>
      <a:prstDash val="solid"/>
    </a:ln>
  </c:spPr>
  <c:txPr>
    <a:bodyPr/>
    <a:lstStyle/>
    <a:p>
      <a:pPr>
        <a:defRPr sz="3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'Metalog IID triangular'!$M$516</c:f>
          <c:strCache>
            <c:ptCount val="1"/>
            <c:pt idx="0">
              <c:v>sum-of-2-IID-triangulars density</c:v>
            </c:pt>
          </c:strCache>
        </c:strRef>
      </c:tx>
      <c:layout>
        <c:manualLayout>
          <c:xMode val="edge"/>
          <c:yMode val="edge"/>
          <c:x val="0.25334578056139068"/>
          <c:y val="5.8857382091042298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358517582503712"/>
          <c:y val="0.16374315761820865"/>
          <c:w val="0.83126553055846675"/>
          <c:h val="0.69150579492170217"/>
        </c:manualLayout>
      </c:layout>
      <c:scatterChart>
        <c:scatterStyle val="smoothMarker"/>
        <c:varyColors val="0"/>
        <c:ser>
          <c:idx val="3"/>
          <c:order val="0"/>
          <c:tx>
            <c:v>triangular PDF</c:v>
          </c:tx>
          <c:spPr>
            <a:ln w="25400">
              <a:solidFill>
                <a:schemeClr val="accent1">
                  <a:lumMod val="75000"/>
                </a:schemeClr>
              </a:solidFill>
            </a:ln>
          </c:spPr>
          <c:marker>
            <c:symbol val="none"/>
          </c:marker>
          <c:xVal>
            <c:numRef>
              <c:f>'Metalog IID triangular'!$M$266:$M$372</c:f>
              <c:numCache>
                <c:formatCode>0.00</c:formatCode>
                <c:ptCount val="107"/>
                <c:pt idx="0" formatCode="0.0">
                  <c:v>0</c:v>
                </c:pt>
                <c:pt idx="1">
                  <c:v>2.8325141204082525</c:v>
                </c:pt>
                <c:pt idx="2">
                  <c:v>3.6985571821686927</c:v>
                </c:pt>
                <c:pt idx="3">
                  <c:v>4.373579041787508</c:v>
                </c:pt>
                <c:pt idx="4">
                  <c:v>4.9524619075900471</c:v>
                </c:pt>
                <c:pt idx="5">
                  <c:v>5.8758385400958923</c:v>
                </c:pt>
                <c:pt idx="6">
                  <c:v>6.5034481872999228</c:v>
                </c:pt>
                <c:pt idx="7">
                  <c:v>6.9926611213856926</c:v>
                </c:pt>
                <c:pt idx="8">
                  <c:v>7.3984051226769081</c:v>
                </c:pt>
                <c:pt idx="9">
                  <c:v>7.7472385907141676</c:v>
                </c:pt>
                <c:pt idx="10">
                  <c:v>8.0543626092753158</c:v>
                </c:pt>
                <c:pt idx="11">
                  <c:v>8.3294408748352158</c:v>
                </c:pt>
                <c:pt idx="12">
                  <c:v>8.5790735412042682</c:v>
                </c:pt>
                <c:pt idx="13">
                  <c:v>8.8080083901647459</c:v>
                </c:pt>
                <c:pt idx="14">
                  <c:v>9.0197966277569108</c:v>
                </c:pt>
                <c:pt idx="15">
                  <c:v>9.2171759673179814</c:v>
                </c:pt>
                <c:pt idx="16">
                  <c:v>9.4023081174356324</c:v>
                </c:pt>
                <c:pt idx="17">
                  <c:v>9.5769332389869568</c:v>
                </c:pt>
                <c:pt idx="18">
                  <c:v>9.7424744471061882</c:v>
                </c:pt>
                <c:pt idx="19">
                  <c:v>9.9001108942775051</c:v>
                </c:pt>
                <c:pt idx="20">
                  <c:v>10.050830339341021</c:v>
                </c:pt>
                <c:pt idx="21">
                  <c:v>10.195467886957637</c:v>
                </c:pt>
                <c:pt idx="22">
                  <c:v>10.334735142357072</c:v>
                </c:pt>
                <c:pt idx="23">
                  <c:v>10.469242560849825</c:v>
                </c:pt>
                <c:pt idx="24">
                  <c:v>10.599516861678882</c:v>
                </c:pt>
                <c:pt idx="25">
                  <c:v>10.726014793994251</c:v>
                </c:pt>
                <c:pt idx="26">
                  <c:v>10.849134160950641</c:v>
                </c:pt>
                <c:pt idx="27">
                  <c:v>10.969222751518942</c:v>
                </c:pt>
                <c:pt idx="28">
                  <c:v>11.086585653768864</c:v>
                </c:pt>
                <c:pt idx="29">
                  <c:v>11.201491300511314</c:v>
                </c:pt>
                <c:pt idx="30">
                  <c:v>11.314176510851347</c:v>
                </c:pt>
                <c:pt idx="31">
                  <c:v>11.424850728147376</c:v>
                </c:pt>
                <c:pt idx="32">
                  <c:v>11.53369960869532</c:v>
                </c:pt>
                <c:pt idx="33">
                  <c:v>11.6408880811952</c:v>
                </c:pt>
                <c:pt idx="34">
                  <c:v>11.746562971330469</c:v>
                </c:pt>
                <c:pt idx="35">
                  <c:v>11.850855266255852</c:v>
                </c:pt>
                <c:pt idx="36">
                  <c:v>11.95388207880468</c:v>
                </c:pt>
                <c:pt idx="37">
                  <c:v>12.055748359622777</c:v>
                </c:pt>
                <c:pt idx="38">
                  <c:v>12.156548396370589</c:v>
                </c:pt>
                <c:pt idx="39">
                  <c:v>12.256367131995685</c:v>
                </c:pt>
                <c:pt idx="40">
                  <c:v>12.355281328412197</c:v>
                </c:pt>
                <c:pt idx="41">
                  <c:v>12.453360597396333</c:v>
                </c:pt>
                <c:pt idx="42">
                  <c:v>12.550668316865895</c:v>
                </c:pt>
                <c:pt idx="43">
                  <c:v>12.647262447765602</c:v>
                </c:pt>
                <c:pt idx="44">
                  <c:v>12.743196264383217</c:v>
                </c:pt>
                <c:pt idx="45">
                  <c:v>12.838519008961738</c:v>
                </c:pt>
                <c:pt idx="46">
                  <c:v>12.933276479863403</c:v>
                </c:pt>
                <c:pt idx="47">
                  <c:v>13.027511561213672</c:v>
                </c:pt>
                <c:pt idx="48">
                  <c:v>13.121264700854963</c:v>
                </c:pt>
                <c:pt idx="49">
                  <c:v>13.2145743425282</c:v>
                </c:pt>
                <c:pt idx="50">
                  <c:v>13.307477317441883</c:v>
                </c:pt>
                <c:pt idx="51">
                  <c:v>13.400009199757164</c:v>
                </c:pt>
                <c:pt idx="52">
                  <c:v>13.492204629991667</c:v>
                </c:pt>
                <c:pt idx="53">
                  <c:v>13.584097609907943</c:v>
                </c:pt>
                <c:pt idx="54">
                  <c:v>13.675721772090817</c:v>
                </c:pt>
                <c:pt idx="55">
                  <c:v>13.767110627120976</c:v>
                </c:pt>
                <c:pt idx="56">
                  <c:v>13.858297791011248</c:v>
                </c:pt>
                <c:pt idx="57">
                  <c:v>13.949317195381225</c:v>
                </c:pt>
                <c:pt idx="58">
                  <c:v>14.040203282699869</c:v>
                </c:pt>
                <c:pt idx="59">
                  <c:v>14.130991188821813</c:v>
                </c:pt>
                <c:pt idx="60">
                  <c:v>14.22171691497894</c:v>
                </c:pt>
                <c:pt idx="61">
                  <c:v>14.312417491364309</c:v>
                </c:pt>
                <c:pt idx="62">
                  <c:v>14.403131134461312</c:v>
                </c:pt>
                <c:pt idx="63">
                  <c:v>14.493897400329288</c:v>
                </c:pt>
                <c:pt idx="64">
                  <c:v>14.584757336161836</c:v>
                </c:pt>
                <c:pt idx="65">
                  <c:v>14.67575363259111</c:v>
                </c:pt>
                <c:pt idx="66">
                  <c:v>14.766930779428804</c:v>
                </c:pt>
                <c:pt idx="67">
                  <c:v>14.858335227822435</c:v>
                </c:pt>
                <c:pt idx="68">
                  <c:v>14.950015562178406</c:v>
                </c:pt>
                <c:pt idx="69">
                  <c:v>15.042022685678981</c:v>
                </c:pt>
                <c:pt idx="70">
                  <c:v>15.134410023822735</c:v>
                </c:pt>
                <c:pt idx="71">
                  <c:v>15.227233751178439</c:v>
                </c:pt>
                <c:pt idx="72">
                  <c:v>15.320553047500892</c:v>
                </c:pt>
                <c:pt idx="73">
                  <c:v>15.414430390567864</c:v>
                </c:pt>
                <c:pt idx="74">
                  <c:v>15.508931894630562</c:v>
                </c:pt>
                <c:pt idx="75">
                  <c:v>15.604127705320096</c:v>
                </c:pt>
                <c:pt idx="76">
                  <c:v>15.700092464346755</c:v>
                </c:pt>
                <c:pt idx="77">
                  <c:v>15.796905860538876</c:v>
                </c:pt>
                <c:pt idx="78">
                  <c:v>15.894653287930609</c:v>
                </c:pt>
                <c:pt idx="79">
                  <c:v>15.993426637049035</c:v>
                </c:pt>
                <c:pt idx="80">
                  <c:v>16.093325252729844</c:v>
                </c:pt>
                <c:pt idx="81">
                  <c:v>16.194457101356548</c:v>
                </c:pt>
                <c:pt idx="82">
                  <c:v>16.296940203306853</c:v>
                </c:pt>
                <c:pt idx="83">
                  <c:v>16.400904403965608</c:v>
                </c:pt>
                <c:pt idx="84">
                  <c:v>16.506493580950742</c:v>
                </c:pt>
                <c:pt idx="85">
                  <c:v>16.61386841924994</c:v>
                </c:pt>
                <c:pt idx="86">
                  <c:v>16.723209934475239</c:v>
                </c:pt>
                <c:pt idx="87">
                  <c:v>16.834723994778166</c:v>
                </c:pt>
                <c:pt idx="88">
                  <c:v>16.948647195962206</c:v>
                </c:pt>
                <c:pt idx="89">
                  <c:v>17.065254601475022</c:v>
                </c:pt>
                <c:pt idx="90">
                  <c:v>17.184870102296397</c:v>
                </c:pt>
                <c:pt idx="91">
                  <c:v>17.307880539065327</c:v>
                </c:pt>
                <c:pt idx="92">
                  <c:v>17.434755364986113</c:v>
                </c:pt>
                <c:pt idx="93">
                  <c:v>17.566074711430886</c:v>
                </c:pt>
                <c:pt idx="94">
                  <c:v>17.70257064210486</c:v>
                </c:pt>
                <c:pt idx="95">
                  <c:v>17.845189971551541</c:v>
                </c:pt>
                <c:pt idx="96">
                  <c:v>17.995194131022366</c:v>
                </c:pt>
                <c:pt idx="97">
                  <c:v>18.154326692565803</c:v>
                </c:pt>
                <c:pt idx="98">
                  <c:v>18.325114427287545</c:v>
                </c:pt>
                <c:pt idx="99">
                  <c:v>18.511460306057486</c:v>
                </c:pt>
                <c:pt idx="100">
                  <c:v>18.719972355287467</c:v>
                </c:pt>
                <c:pt idx="101">
                  <c:v>18.963593289546473</c:v>
                </c:pt>
                <c:pt idx="102">
                  <c:v>19.275808757574939</c:v>
                </c:pt>
                <c:pt idx="103">
                  <c:v>19.443443753643887</c:v>
                </c:pt>
                <c:pt idx="104">
                  <c:v>19.610547643924196</c:v>
                </c:pt>
                <c:pt idx="105">
                  <c:v>19.778980276789511</c:v>
                </c:pt>
                <c:pt idx="106">
                  <c:v>20</c:v>
                </c:pt>
              </c:numCache>
            </c:numRef>
          </c:xVal>
          <c:yVal>
            <c:numRef>
              <c:f>'Metalog IID triangular'!$M$377:$M$483</c:f>
              <c:numCache>
                <c:formatCode>0.00</c:formatCode>
                <c:ptCount val="107"/>
                <c:pt idx="0">
                  <c:v>0</c:v>
                </c:pt>
                <c:pt idx="1">
                  <c:v>1.4435083425693026E-3</c:v>
                </c:pt>
                <c:pt idx="2">
                  <c:v>3.3558028649591323E-3</c:v>
                </c:pt>
                <c:pt idx="3">
                  <c:v>5.6596247140763608E-3</c:v>
                </c:pt>
                <c:pt idx="4">
                  <c:v>8.2584134915324944E-3</c:v>
                </c:pt>
                <c:pt idx="5">
                  <c:v>1.3671187375436744E-2</c:v>
                </c:pt>
                <c:pt idx="6">
                  <c:v>1.8342370723227686E-2</c:v>
                </c:pt>
                <c:pt idx="7">
                  <c:v>2.2645240631829391E-2</c:v>
                </c:pt>
                <c:pt idx="8">
                  <c:v>2.6731188320427767E-2</c:v>
                </c:pt>
                <c:pt idx="9">
                  <c:v>3.0672816276848387E-2</c:v>
                </c:pt>
                <c:pt idx="10">
                  <c:v>3.4506587512438333E-2</c:v>
                </c:pt>
                <c:pt idx="11">
                  <c:v>3.8249979582874426E-2</c:v>
                </c:pt>
                <c:pt idx="12">
                  <c:v>4.190970074175427E-2</c:v>
                </c:pt>
                <c:pt idx="13">
                  <c:v>4.5486135120712874E-2</c:v>
                </c:pt>
                <c:pt idx="14">
                  <c:v>4.8975979019382505E-2</c:v>
                </c:pt>
                <c:pt idx="15">
                  <c:v>5.2373917007012369E-2</c:v>
                </c:pt>
                <c:pt idx="16">
                  <c:v>5.567374121412489E-2</c:v>
                </c:pt>
                <c:pt idx="17">
                  <c:v>5.8869120327950664E-2</c:v>
                </c:pt>
                <c:pt idx="18">
                  <c:v>6.1954131259614575E-2</c:v>
                </c:pt>
                <c:pt idx="19">
                  <c:v>6.4923619646768294E-2</c:v>
                </c:pt>
                <c:pt idx="20">
                  <c:v>6.7773431056974406E-2</c:v>
                </c:pt>
                <c:pt idx="21">
                  <c:v>7.050054175858865E-2</c:v>
                </c:pt>
                <c:pt idx="22">
                  <c:v>7.3103110720166661E-2</c:v>
                </c:pt>
                <c:pt idx="23">
                  <c:v>7.5580470257921931E-2</c:v>
                </c:pt>
                <c:pt idx="24">
                  <c:v>7.7933069986028516E-2</c:v>
                </c:pt>
                <c:pt idx="25">
                  <c:v>8.0162386657245066E-2</c:v>
                </c:pt>
                <c:pt idx="26">
                  <c:v>8.2270810720077664E-2</c:v>
                </c:pt>
                <c:pt idx="27">
                  <c:v>8.4261518787614856E-2</c:v>
                </c:pt>
                <c:pt idx="28">
                  <c:v>8.6138339653606538E-2</c:v>
                </c:pt>
                <c:pt idx="29">
                  <c:v>8.7905620003944279E-2</c:v>
                </c:pt>
                <c:pt idx="30">
                  <c:v>8.956809458181976E-2</c:v>
                </c:pt>
                <c:pt idx="31">
                  <c:v>9.1130764302756032E-2</c:v>
                </c:pt>
                <c:pt idx="32">
                  <c:v>9.2598784706058992E-2</c:v>
                </c:pt>
                <c:pt idx="33">
                  <c:v>9.3977366186533462E-2</c:v>
                </c:pt>
                <c:pt idx="34">
                  <c:v>9.5271686678157635E-2</c:v>
                </c:pt>
                <c:pt idx="35">
                  <c:v>9.6486816853885035E-2</c:v>
                </c:pt>
                <c:pt idx="36">
                  <c:v>9.7627657449631311E-2</c:v>
                </c:pt>
                <c:pt idx="37">
                  <c:v>9.8698887997901052E-2</c:v>
                </c:pt>
                <c:pt idx="38">
                  <c:v>9.970492604712651E-2</c:v>
                </c:pt>
                <c:pt idx="39">
                  <c:v>0.10064989582586828</c:v>
                </c:pt>
                <c:pt idx="40">
                  <c:v>0.10153760526675085</c:v>
                </c:pt>
                <c:pt idx="41">
                  <c:v>0.10237153031541214</c:v>
                </c:pt>
                <c:pt idx="42">
                  <c:v>0.10315480549923957</c:v>
                </c:pt>
                <c:pt idx="43">
                  <c:v>0.10389021980620046</c:v>
                </c:pt>
                <c:pt idx="44">
                  <c:v>0.10458021701511272</c:v>
                </c:pt>
                <c:pt idx="45">
                  <c:v>0.10522689971699513</c:v>
                </c:pt>
                <c:pt idx="46">
                  <c:v>0.1058320363664839</c:v>
                </c:pt>
                <c:pt idx="47">
                  <c:v>0.1063970707981939</c:v>
                </c:pt>
                <c:pt idx="48">
                  <c:v>0.10692313373223812</c:v>
                </c:pt>
                <c:pt idx="49">
                  <c:v>0.10741105587388981</c:v>
                </c:pt>
                <c:pt idx="50">
                  <c:v>0.10786138228344057</c:v>
                </c:pt>
                <c:pt idx="51">
                  <c:v>0.108274387753133</c:v>
                </c:pt>
                <c:pt idx="52">
                  <c:v>0.10865009297858301</c:v>
                </c:pt>
                <c:pt idx="53">
                  <c:v>0.10898828135258977</c:v>
                </c:pt>
                <c:pt idx="54">
                  <c:v>0.10928851624013149</c:v>
                </c:pt>
                <c:pt idx="55">
                  <c:v>0.10955015861524933</c:v>
                </c:pt>
                <c:pt idx="56">
                  <c:v>0.10977238495411161</c:v>
                </c:pt>
                <c:pt idx="57">
                  <c:v>0.10995420528453151</c:v>
                </c:pt>
                <c:pt idx="58">
                  <c:v>0.11009448129132605</c:v>
                </c:pt>
                <c:pt idx="59">
                  <c:v>0.11019194436988158</c:v>
                </c:pt>
                <c:pt idx="60">
                  <c:v>0.11024521350786651</c:v>
                </c:pt>
                <c:pt idx="61">
                  <c:v>0.11025281285792114</c:v>
                </c:pt>
                <c:pt idx="62">
                  <c:v>0.11021318884304958</c:v>
                </c:pt>
                <c:pt idx="63">
                  <c:v>0.11012472661200552</c:v>
                </c:pt>
                <c:pt idx="64">
                  <c:v>0.10998576563481255</c:v>
                </c:pt>
                <c:pt idx="65">
                  <c:v>0.10979461419922647</c:v>
                </c:pt>
                <c:pt idx="66">
                  <c:v>0.10954956253787318</c:v>
                </c:pt>
                <c:pt idx="67">
                  <c:v>0.10924889428326168</c:v>
                </c:pt>
                <c:pt idx="68">
                  <c:v>0.10889089591396897</c:v>
                </c:pt>
                <c:pt idx="69">
                  <c:v>0.10847386381984658</c:v>
                </c:pt>
                <c:pt idx="70">
                  <c:v>0.1079961085765704</c:v>
                </c:pt>
                <c:pt idx="71">
                  <c:v>0.10745595597928559</c:v>
                </c:pt>
                <c:pt idx="72">
                  <c:v>0.10685174433991294</c:v>
                </c:pt>
                <c:pt idx="73">
                  <c:v>0.10618181750061453</c:v>
                </c:pt>
                <c:pt idx="74">
                  <c:v>0.10544451295371782</c:v>
                </c:pt>
                <c:pt idx="75">
                  <c:v>0.1046381443816389</c:v>
                </c:pt>
                <c:pt idx="76">
                  <c:v>0.10376097783299666</c:v>
                </c:pt>
                <c:pt idx="77">
                  <c:v>0.10281120062506204</c:v>
                </c:pt>
                <c:pt idx="78">
                  <c:v>0.10178688189699632</c:v>
                </c:pt>
                <c:pt idx="79">
                  <c:v>0.10068592351818313</c:v>
                </c:pt>
                <c:pt idx="80">
                  <c:v>9.9505999761079642E-2</c:v>
                </c:pt>
                <c:pt idx="81">
                  <c:v>9.8244483750331971E-2</c:v>
                </c:pt>
                <c:pt idx="82">
                  <c:v>9.6898358159940828E-2</c:v>
                </c:pt>
                <c:pt idx="83">
                  <c:v>9.546410689155499E-2</c:v>
                </c:pt>
                <c:pt idx="84">
                  <c:v>9.3937583447201337E-2</c:v>
                </c:pt>
                <c:pt idx="85">
                  <c:v>9.2313850286527568E-2</c:v>
                </c:pt>
                <c:pt idx="86">
                  <c:v>9.058698144595613E-2</c:v>
                </c:pt>
                <c:pt idx="87">
                  <c:v>8.8749817805912054E-2</c:v>
                </c:pt>
                <c:pt idx="88">
                  <c:v>8.6793660161790881E-2</c:v>
                </c:pt>
                <c:pt idx="89">
                  <c:v>8.4707878930467301E-2</c:v>
                </c:pt>
                <c:pt idx="90">
                  <c:v>8.2479409635461867E-2</c:v>
                </c:pt>
                <c:pt idx="91">
                  <c:v>8.0092088045005977E-2</c:v>
                </c:pt>
                <c:pt idx="92">
                  <c:v>7.7525753982671919E-2</c:v>
                </c:pt>
                <c:pt idx="93">
                  <c:v>7.4755010836703925E-2</c:v>
                </c:pt>
                <c:pt idx="94">
                  <c:v>7.1747453711732176E-2</c:v>
                </c:pt>
                <c:pt idx="95">
                  <c:v>6.846104168388624E-2</c:v>
                </c:pt>
                <c:pt idx="96">
                  <c:v>6.4840018605987551E-2</c:v>
                </c:pt>
                <c:pt idx="97">
                  <c:v>6.080821197103739E-2</c:v>
                </c:pt>
                <c:pt idx="98">
                  <c:v>5.6257202412871771E-2</c:v>
                </c:pt>
                <c:pt idx="99">
                  <c:v>5.1023354639641298E-2</c:v>
                </c:pt>
                <c:pt idx="100">
                  <c:v>4.4836907637829125E-2</c:v>
                </c:pt>
                <c:pt idx="101">
                  <c:v>3.7183952854707512E-2</c:v>
                </c:pt>
                <c:pt idx="102">
                  <c:v>2.6767994718519525E-2</c:v>
                </c:pt>
                <c:pt idx="103">
                  <c:v>2.0928110173400873E-2</c:v>
                </c:pt>
                <c:pt idx="104">
                  <c:v>1.4952438288810238E-2</c:v>
                </c:pt>
                <c:pt idx="105">
                  <c:v>8.7650946133914116E-3</c:v>
                </c:pt>
                <c:pt idx="10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547-404A-A6C5-D93FB0439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6711424"/>
        <c:axId val="226717696"/>
        <c:extLst/>
      </c:scatterChart>
      <c:valAx>
        <c:axId val="226711424"/>
        <c:scaling>
          <c:orientation val="minMax"/>
        </c:scaling>
        <c:delete val="0"/>
        <c:axPos val="b"/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6717696"/>
        <c:crosses val="autoZero"/>
        <c:crossBetween val="midCat"/>
      </c:valAx>
      <c:valAx>
        <c:axId val="226717696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6711424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'Metalog IID lognormal'!$M$515</c:f>
          <c:strCache>
            <c:ptCount val="1"/>
            <c:pt idx="0">
              <c:v>sum-of-2-IID-lognormals cumulative</c:v>
            </c:pt>
          </c:strCache>
        </c:strRef>
      </c:tx>
      <c:layout>
        <c:manualLayout>
          <c:xMode val="edge"/>
          <c:yMode val="edge"/>
          <c:x val="0.23280992560493699"/>
          <c:y val="5.0719571807904602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850465980909012"/>
          <c:y val="0.16618099458619173"/>
          <c:w val="0.83411585599992777"/>
          <c:h val="0.68024319219475959"/>
        </c:manualLayout>
      </c:layout>
      <c:scatterChart>
        <c:scatterStyle val="smoothMarker"/>
        <c:varyColors val="0"/>
        <c:ser>
          <c:idx val="4"/>
          <c:order val="0"/>
          <c:tx>
            <c:v>lognormal CDF</c:v>
          </c:tx>
          <c:spPr>
            <a:ln w="25400">
              <a:solidFill>
                <a:schemeClr val="accent1">
                  <a:lumMod val="75000"/>
                </a:schemeClr>
              </a:solidFill>
            </a:ln>
          </c:spPr>
          <c:marker>
            <c:symbol val="none"/>
          </c:marker>
          <c:xVal>
            <c:numRef>
              <c:f>'Metalog IID lognormal'!$M$266:$M$372</c:f>
              <c:numCache>
                <c:formatCode>0.0</c:formatCode>
                <c:ptCount val="107"/>
                <c:pt idx="0">
                  <c:v>0</c:v>
                </c:pt>
                <c:pt idx="1">
                  <c:v>0.16448688873387329</c:v>
                </c:pt>
                <c:pt idx="2">
                  <c:v>0.21942469300443848</c:v>
                </c:pt>
                <c:pt idx="3">
                  <c:v>0.28806026675224777</c:v>
                </c:pt>
                <c:pt idx="4">
                  <c:v>0.34530939316055415</c:v>
                </c:pt>
                <c:pt idx="5">
                  <c:v>0.39787411748325591</c:v>
                </c:pt>
                <c:pt idx="6">
                  <c:v>0.49034143935624858</c:v>
                </c:pt>
                <c:pt idx="7">
                  <c:v>0.56090097044993847</c:v>
                </c:pt>
                <c:pt idx="8">
                  <c:v>0.62131825798413443</c:v>
                </c:pt>
                <c:pt idx="9">
                  <c:v>0.67568272009824781</c:v>
                </c:pt>
                <c:pt idx="10">
                  <c:v>0.72595619863938754</c:v>
                </c:pt>
                <c:pt idx="11">
                  <c:v>0.77325324079841207</c:v>
                </c:pt>
                <c:pt idx="12">
                  <c:v>0.81827907272388878</c:v>
                </c:pt>
                <c:pt idx="13">
                  <c:v>0.86151516539747353</c:v>
                </c:pt>
                <c:pt idx="14">
                  <c:v>0.9033095606499173</c:v>
                </c:pt>
                <c:pt idx="15">
                  <c:v>0.94392539135352871</c:v>
                </c:pt>
                <c:pt idx="16">
                  <c:v>0.9835689492117935</c:v>
                </c:pt>
                <c:pt idx="17">
                  <c:v>1.0224068908227186</c:v>
                </c:pt>
                <c:pt idx="18">
                  <c:v>1.0605772908184496</c:v>
                </c:pt>
                <c:pt idx="19">
                  <c:v>1.0981970227708624</c:v>
                </c:pt>
                <c:pt idx="20">
                  <c:v>1.1353668517969862</c:v>
                </c:pt>
                <c:pt idx="21">
                  <c:v>1.172175048561819</c:v>
                </c:pt>
                <c:pt idx="22">
                  <c:v>1.2087000178403082</c:v>
                </c:pt>
                <c:pt idx="23">
                  <c:v>1.2450122525368899</c:v>
                </c:pt>
                <c:pt idx="24">
                  <c:v>1.281175815105368</c:v>
                </c:pt>
                <c:pt idx="25">
                  <c:v>1.3172494810243265</c:v>
                </c:pt>
                <c:pt idx="26">
                  <c:v>1.3532876362256379</c:v>
                </c:pt>
                <c:pt idx="27">
                  <c:v>1.3893409925097242</c:v>
                </c:pt>
                <c:pt idx="28">
                  <c:v>1.425457166411342</c:v>
                </c:pt>
                <c:pt idx="29">
                  <c:v>1.4616811543533084</c:v>
                </c:pt>
                <c:pt idx="30">
                  <c:v>1.4980557281846898</c:v>
                </c:pt>
                <c:pt idx="31">
                  <c:v>1.5346217690503785</c:v>
                </c:pt>
                <c:pt idx="32">
                  <c:v>1.5714185531493141</c:v>
                </c:pt>
                <c:pt idx="33">
                  <c:v>1.6084839997642495</c:v>
                </c:pt>
                <c:pt idx="34">
                  <c:v>1.6458548896240826</c:v>
                </c:pt>
                <c:pt idx="35">
                  <c:v>1.6835670599443995</c:v>
                </c:pt>
                <c:pt idx="36">
                  <c:v>1.7216555812140695</c:v>
                </c:pt>
                <c:pt idx="37">
                  <c:v>1.7601549198377853</c:v>
                </c:pt>
                <c:pt idx="38">
                  <c:v>1.7990990900233603</c:v>
                </c:pt>
                <c:pt idx="39">
                  <c:v>1.8385217977593002</c:v>
                </c:pt>
                <c:pt idx="40">
                  <c:v>1.8784565793201766</c:v>
                </c:pt>
                <c:pt idx="41">
                  <c:v>1.9189369364338966</c:v>
                </c:pt>
                <c:pt idx="42">
                  <c:v>1.9599964700237715</c:v>
                </c:pt>
                <c:pt idx="43">
                  <c:v>2.0016690142830647</c:v>
                </c:pt>
                <c:pt idx="44">
                  <c:v>2.0439887727387234</c:v>
                </c:pt>
                <c:pt idx="45">
                  <c:v>2.0869904579058729</c:v>
                </c:pt>
                <c:pt idx="46">
                  <c:v>2.1307094361195906</c:v>
                </c:pt>
                <c:pt idx="47">
                  <c:v>2.1751818791517366</c:v>
                </c:pt>
                <c:pt idx="48">
                  <c:v>2.2204449242761251</c:v>
                </c:pt>
                <c:pt idx="49">
                  <c:v>2.2665368445343974</c:v>
                </c:pt>
                <c:pt idx="50">
                  <c:v>2.3134972310782622</c:v>
                </c:pt>
                <c:pt idx="51">
                  <c:v>2.3613671896231092</c:v>
                </c:pt>
                <c:pt idx="52">
                  <c:v>2.4101895532464659</c:v>
                </c:pt>
                <c:pt idx="53">
                  <c:v>2.4600091140066476</c:v>
                </c:pt>
                <c:pt idx="54">
                  <c:v>2.5108728761480803</c:v>
                </c:pt>
                <c:pt idx="55">
                  <c:v>2.5628303340074976</c:v>
                </c:pt>
                <c:pt idx="56">
                  <c:v>2.6159337781487864</c:v>
                </c:pt>
                <c:pt idx="57">
                  <c:v>2.6702386337453707</c:v>
                </c:pt>
                <c:pt idx="58">
                  <c:v>2.7258038358118784</c:v>
                </c:pt>
                <c:pt idx="59">
                  <c:v>2.7826922465792889</c:v>
                </c:pt>
                <c:pt idx="60">
                  <c:v>2.8409711211317301</c:v>
                </c:pt>
                <c:pt idx="61">
                  <c:v>2.9007126284058526</c:v>
                </c:pt>
                <c:pt idx="62">
                  <c:v>2.9619944358291872</c:v>
                </c:pt>
                <c:pt idx="63">
                  <c:v>3.0249003672843684</c:v>
                </c:pt>
                <c:pt idx="64">
                  <c:v>3.0895211457846541</c:v>
                </c:pt>
                <c:pt idx="65">
                  <c:v>3.1559552342997068</c:v>
                </c:pt>
                <c:pt idx="66">
                  <c:v>3.2243097906634941</c:v>
                </c:pt>
                <c:pt idx="67">
                  <c:v>3.2947017555363054</c:v>
                </c:pt>
                <c:pt idx="68">
                  <c:v>3.3672590961177487</c:v>
                </c:pt>
                <c:pt idx="69">
                  <c:v>3.4421222328946719</c:v>
                </c:pt>
                <c:pt idx="70">
                  <c:v>3.5194456823869715</c:v>
                </c:pt>
                <c:pt idx="71">
                  <c:v>3.5993999559249019</c:v>
                </c:pt>
                <c:pt idx="72">
                  <c:v>3.6821737633477496</c:v>
                </c:pt>
                <c:pt idx="73">
                  <c:v>3.7679765816769364</c:v>
                </c:pt>
                <c:pt idx="74">
                  <c:v>3.8570416629825792</c:v>
                </c:pt>
                <c:pt idx="75">
                  <c:v>3.9496295737681271</c:v>
                </c:pt>
                <c:pt idx="76">
                  <c:v>4.04603238151463</c:v>
                </c:pt>
                <c:pt idx="77">
                  <c:v>4.1465786342993418</c:v>
                </c:pt>
                <c:pt idx="78">
                  <c:v>4.2516393190489659</c:v>
                </c:pt>
                <c:pt idx="79">
                  <c:v>4.3616350363911316</c:v>
                </c:pt>
                <c:pt idx="80">
                  <c:v>4.4770447000255196</c:v>
                </c:pt>
                <c:pt idx="81">
                  <c:v>4.5984161629320983</c:v>
                </c:pt>
                <c:pt idx="82">
                  <c:v>4.7263793015815452</c:v>
                </c:pt>
                <c:pt idx="83">
                  <c:v>4.8616622673915044</c:v>
                </c:pt>
                <c:pt idx="84">
                  <c:v>5.0051118641426751</c:v>
                </c:pt>
                <c:pt idx="85">
                  <c:v>5.1577193647359039</c:v>
                </c:pt>
                <c:pt idx="86">
                  <c:v>5.3206535930742236</c:v>
                </c:pt>
                <c:pt idx="87">
                  <c:v>5.4953038503352332</c:v>
                </c:pt>
                <c:pt idx="88">
                  <c:v>5.6833363946739777</c:v>
                </c:pt>
                <c:pt idx="89">
                  <c:v>5.8867699143514995</c:v>
                </c:pt>
                <c:pt idx="90">
                  <c:v>6.1080781509144959</c:v>
                </c:pt>
                <c:pt idx="91">
                  <c:v>6.3503322093256438</c:v>
                </c:pt>
                <c:pt idx="92">
                  <c:v>6.6174023735403988</c:v>
                </c:pt>
                <c:pt idx="93">
                  <c:v>6.9142517792047196</c:v>
                </c:pt>
                <c:pt idx="94">
                  <c:v>7.2473767489328829</c:v>
                </c:pt>
                <c:pt idx="95">
                  <c:v>7.6254907433092365</c:v>
                </c:pt>
                <c:pt idx="96">
                  <c:v>8.0606324747099531</c:v>
                </c:pt>
                <c:pt idx="97">
                  <c:v>8.5700558626213006</c:v>
                </c:pt>
                <c:pt idx="98">
                  <c:v>9.1796665532933854</c:v>
                </c:pt>
                <c:pt idx="99">
                  <c:v>9.9308058008190532</c:v>
                </c:pt>
                <c:pt idx="100">
                  <c:v>10.89519722763742</c:v>
                </c:pt>
                <c:pt idx="101">
                  <c:v>12.213425807802082</c:v>
                </c:pt>
                <c:pt idx="102">
                  <c:v>14.221177273293145</c:v>
                </c:pt>
                <c:pt idx="103">
                  <c:v>18.103086663886625</c:v>
                </c:pt>
                <c:pt idx="104">
                  <c:v>21.387326492944286</c:v>
                </c:pt>
                <c:pt idx="105">
                  <c:v>26.549093685103585</c:v>
                </c:pt>
                <c:pt idx="106">
                  <c:v>36.883564702045362</c:v>
                </c:pt>
              </c:numCache>
            </c:numRef>
          </c:xVal>
          <c:yVal>
            <c:numRef>
              <c:f>'Metalog IID lognormal'!$M$155:$M$261</c:f>
              <c:numCache>
                <c:formatCode>0.0000</c:formatCode>
                <c:ptCount val="107"/>
                <c:pt idx="0">
                  <c:v>0</c:v>
                </c:pt>
                <c:pt idx="1">
                  <c:v>2.9999999999999997E-4</c:v>
                </c:pt>
                <c:pt idx="2" formatCode="0.000">
                  <c:v>1E-3</c:v>
                </c:pt>
                <c:pt idx="3" formatCode="0.000">
                  <c:v>3.0000000000000001E-3</c:v>
                </c:pt>
                <c:pt idx="4" formatCode="0.000">
                  <c:v>6.0000000000000001E-3</c:v>
                </c:pt>
                <c:pt idx="5" formatCode="0.000">
                  <c:v>0.01</c:v>
                </c:pt>
                <c:pt idx="6" formatCode="0.000">
                  <c:v>0.02</c:v>
                </c:pt>
                <c:pt idx="7" formatCode="0.000">
                  <c:v>0.03</c:v>
                </c:pt>
                <c:pt idx="8" formatCode="0.000">
                  <c:v>0.04</c:v>
                </c:pt>
                <c:pt idx="9" formatCode="0.000">
                  <c:v>0.05</c:v>
                </c:pt>
                <c:pt idx="10" formatCode="0.000">
                  <c:v>6.0000000000000005E-2</c:v>
                </c:pt>
                <c:pt idx="11" formatCode="0.000">
                  <c:v>7.0000000000000007E-2</c:v>
                </c:pt>
                <c:pt idx="12" formatCode="0.000">
                  <c:v>0.08</c:v>
                </c:pt>
                <c:pt idx="13" formatCode="0.000">
                  <c:v>0.09</c:v>
                </c:pt>
                <c:pt idx="14" formatCode="0.000">
                  <c:v>9.9999999999999992E-2</c:v>
                </c:pt>
                <c:pt idx="15" formatCode="0.000">
                  <c:v>0.10999999999999999</c:v>
                </c:pt>
                <c:pt idx="16" formatCode="0.000">
                  <c:v>0.11999999999999998</c:v>
                </c:pt>
                <c:pt idx="17" formatCode="0.000">
                  <c:v>0.12999999999999998</c:v>
                </c:pt>
                <c:pt idx="18" formatCode="0.000">
                  <c:v>0.13999999999999999</c:v>
                </c:pt>
                <c:pt idx="19" formatCode="0.000">
                  <c:v>0.15</c:v>
                </c:pt>
                <c:pt idx="20" formatCode="0.000">
                  <c:v>0.16</c:v>
                </c:pt>
                <c:pt idx="21" formatCode="0.000">
                  <c:v>0.17</c:v>
                </c:pt>
                <c:pt idx="22" formatCode="0.000">
                  <c:v>0.18000000000000002</c:v>
                </c:pt>
                <c:pt idx="23" formatCode="0.000">
                  <c:v>0.19000000000000003</c:v>
                </c:pt>
                <c:pt idx="24" formatCode="0.000">
                  <c:v>0.20000000000000004</c:v>
                </c:pt>
                <c:pt idx="25" formatCode="0.000">
                  <c:v>0.21000000000000005</c:v>
                </c:pt>
                <c:pt idx="26" formatCode="0.000">
                  <c:v>0.22000000000000006</c:v>
                </c:pt>
                <c:pt idx="27" formatCode="0.000">
                  <c:v>0.23000000000000007</c:v>
                </c:pt>
                <c:pt idx="28" formatCode="0.000">
                  <c:v>0.24000000000000007</c:v>
                </c:pt>
                <c:pt idx="29" formatCode="0.000">
                  <c:v>0.25000000000000006</c:v>
                </c:pt>
                <c:pt idx="30" formatCode="0.000">
                  <c:v>0.26000000000000006</c:v>
                </c:pt>
                <c:pt idx="31" formatCode="0.000">
                  <c:v>0.27000000000000007</c:v>
                </c:pt>
                <c:pt idx="32" formatCode="0.000">
                  <c:v>0.28000000000000008</c:v>
                </c:pt>
                <c:pt idx="33" formatCode="0.000">
                  <c:v>0.29000000000000009</c:v>
                </c:pt>
                <c:pt idx="34" formatCode="0.000">
                  <c:v>0.3000000000000001</c:v>
                </c:pt>
                <c:pt idx="35" formatCode="0.000">
                  <c:v>0.31000000000000011</c:v>
                </c:pt>
                <c:pt idx="36" formatCode="0.000">
                  <c:v>0.32000000000000012</c:v>
                </c:pt>
                <c:pt idx="37" formatCode="0.000">
                  <c:v>0.33000000000000013</c:v>
                </c:pt>
                <c:pt idx="38" formatCode="0.000">
                  <c:v>0.34000000000000014</c:v>
                </c:pt>
                <c:pt idx="39" formatCode="0.000">
                  <c:v>0.35000000000000014</c:v>
                </c:pt>
                <c:pt idx="40" formatCode="0.000">
                  <c:v>0.36000000000000015</c:v>
                </c:pt>
                <c:pt idx="41" formatCode="0.000">
                  <c:v>0.37000000000000016</c:v>
                </c:pt>
                <c:pt idx="42" formatCode="0.000">
                  <c:v>0.38000000000000017</c:v>
                </c:pt>
                <c:pt idx="43" formatCode="0.000">
                  <c:v>0.39000000000000018</c:v>
                </c:pt>
                <c:pt idx="44" formatCode="0.000">
                  <c:v>0.40000000000000019</c:v>
                </c:pt>
                <c:pt idx="45" formatCode="0.000">
                  <c:v>0.4100000000000002</c:v>
                </c:pt>
                <c:pt idx="46" formatCode="0.000">
                  <c:v>0.42000000000000021</c:v>
                </c:pt>
                <c:pt idx="47" formatCode="0.000">
                  <c:v>0.43000000000000022</c:v>
                </c:pt>
                <c:pt idx="48" formatCode="0.000">
                  <c:v>0.44000000000000022</c:v>
                </c:pt>
                <c:pt idx="49" formatCode="0.000">
                  <c:v>0.45000000000000023</c:v>
                </c:pt>
                <c:pt idx="50" formatCode="0.000">
                  <c:v>0.46000000000000024</c:v>
                </c:pt>
                <c:pt idx="51" formatCode="0.000">
                  <c:v>0.47000000000000025</c:v>
                </c:pt>
                <c:pt idx="52" formatCode="0.000">
                  <c:v>0.48000000000000026</c:v>
                </c:pt>
                <c:pt idx="53" formatCode="0.000">
                  <c:v>0.49000000000000027</c:v>
                </c:pt>
                <c:pt idx="54" formatCode="0.000">
                  <c:v>0.50000000000000022</c:v>
                </c:pt>
                <c:pt idx="55" formatCode="0.000">
                  <c:v>0.51000000000000023</c:v>
                </c:pt>
                <c:pt idx="56" formatCode="0.000">
                  <c:v>0.52000000000000024</c:v>
                </c:pt>
                <c:pt idx="57" formatCode="0.000">
                  <c:v>0.53000000000000025</c:v>
                </c:pt>
                <c:pt idx="58" formatCode="0.000">
                  <c:v>0.54000000000000026</c:v>
                </c:pt>
                <c:pt idx="59" formatCode="0.000">
                  <c:v>0.55000000000000027</c:v>
                </c:pt>
                <c:pt idx="60" formatCode="0.000">
                  <c:v>0.56000000000000028</c:v>
                </c:pt>
                <c:pt idx="61" formatCode="0.000">
                  <c:v>0.57000000000000028</c:v>
                </c:pt>
                <c:pt idx="62" formatCode="0.000">
                  <c:v>0.58000000000000029</c:v>
                </c:pt>
                <c:pt idx="63" formatCode="0.000">
                  <c:v>0.5900000000000003</c:v>
                </c:pt>
                <c:pt idx="64" formatCode="0.000">
                  <c:v>0.60000000000000031</c:v>
                </c:pt>
                <c:pt idx="65" formatCode="0.000">
                  <c:v>0.61000000000000032</c:v>
                </c:pt>
                <c:pt idx="66" formatCode="0.000">
                  <c:v>0.62000000000000033</c:v>
                </c:pt>
                <c:pt idx="67" formatCode="0.000">
                  <c:v>0.63000000000000034</c:v>
                </c:pt>
                <c:pt idx="68" formatCode="0.000">
                  <c:v>0.64000000000000035</c:v>
                </c:pt>
                <c:pt idx="69" formatCode="0.000">
                  <c:v>0.65000000000000036</c:v>
                </c:pt>
                <c:pt idx="70" formatCode="0.000">
                  <c:v>0.66000000000000036</c:v>
                </c:pt>
                <c:pt idx="71" formatCode="0.000">
                  <c:v>0.67000000000000037</c:v>
                </c:pt>
                <c:pt idx="72" formatCode="0.000">
                  <c:v>0.68000000000000038</c:v>
                </c:pt>
                <c:pt idx="73" formatCode="0.000">
                  <c:v>0.69000000000000039</c:v>
                </c:pt>
                <c:pt idx="74" formatCode="0.000">
                  <c:v>0.7000000000000004</c:v>
                </c:pt>
                <c:pt idx="75" formatCode="0.000">
                  <c:v>0.71000000000000041</c:v>
                </c:pt>
                <c:pt idx="76" formatCode="0.000">
                  <c:v>0.72000000000000042</c:v>
                </c:pt>
                <c:pt idx="77" formatCode="0.000">
                  <c:v>0.73000000000000043</c:v>
                </c:pt>
                <c:pt idx="78" formatCode="0.000">
                  <c:v>0.74000000000000044</c:v>
                </c:pt>
                <c:pt idx="79" formatCode="0.000">
                  <c:v>0.75000000000000044</c:v>
                </c:pt>
                <c:pt idx="80" formatCode="0.000">
                  <c:v>0.76000000000000045</c:v>
                </c:pt>
                <c:pt idx="81" formatCode="0.000">
                  <c:v>0.77000000000000046</c:v>
                </c:pt>
                <c:pt idx="82" formatCode="0.000">
                  <c:v>0.78000000000000047</c:v>
                </c:pt>
                <c:pt idx="83" formatCode="0.000">
                  <c:v>0.79000000000000048</c:v>
                </c:pt>
                <c:pt idx="84" formatCode="0.000">
                  <c:v>0.80000000000000049</c:v>
                </c:pt>
                <c:pt idx="85" formatCode="0.000">
                  <c:v>0.8100000000000005</c:v>
                </c:pt>
                <c:pt idx="86" formatCode="0.000">
                  <c:v>0.82000000000000051</c:v>
                </c:pt>
                <c:pt idx="87" formatCode="0.000">
                  <c:v>0.83000000000000052</c:v>
                </c:pt>
                <c:pt idx="88" formatCode="0.000">
                  <c:v>0.84000000000000052</c:v>
                </c:pt>
                <c:pt idx="89" formatCode="0.000">
                  <c:v>0.85000000000000053</c:v>
                </c:pt>
                <c:pt idx="90" formatCode="0.000">
                  <c:v>0.86000000000000054</c:v>
                </c:pt>
                <c:pt idx="91" formatCode="0.000">
                  <c:v>0.87000000000000055</c:v>
                </c:pt>
                <c:pt idx="92" formatCode="0.000">
                  <c:v>0.88000000000000056</c:v>
                </c:pt>
                <c:pt idx="93" formatCode="0.000">
                  <c:v>0.89000000000000057</c:v>
                </c:pt>
                <c:pt idx="94" formatCode="0.000">
                  <c:v>0.90000000000000058</c:v>
                </c:pt>
                <c:pt idx="95" formatCode="0.000">
                  <c:v>0.91000000000000059</c:v>
                </c:pt>
                <c:pt idx="96" formatCode="0.000">
                  <c:v>0.9200000000000006</c:v>
                </c:pt>
                <c:pt idx="97" formatCode="0.000">
                  <c:v>0.9300000000000006</c:v>
                </c:pt>
                <c:pt idx="98" formatCode="0.000">
                  <c:v>0.94000000000000061</c:v>
                </c:pt>
                <c:pt idx="99" formatCode="0.000">
                  <c:v>0.95000000000000062</c:v>
                </c:pt>
                <c:pt idx="100" formatCode="0.000">
                  <c:v>0.96000000000000063</c:v>
                </c:pt>
                <c:pt idx="101" formatCode="0.000">
                  <c:v>0.97000000000000064</c:v>
                </c:pt>
                <c:pt idx="102" formatCode="0.000">
                  <c:v>0.98000000000000065</c:v>
                </c:pt>
                <c:pt idx="103" formatCode="0.000">
                  <c:v>0.99000000000000066</c:v>
                </c:pt>
                <c:pt idx="104" formatCode="0.000">
                  <c:v>0.99399999999999999</c:v>
                </c:pt>
                <c:pt idx="105" formatCode="0.000">
                  <c:v>0.997</c:v>
                </c:pt>
                <c:pt idx="106" formatCode="0.000">
                  <c:v>0.999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0-BBFE-453A-B6D6-AD0E6B9B57B2}"/>
            </c:ext>
          </c:extLst>
        </c:ser>
        <c:ser>
          <c:idx val="0"/>
          <c:order val="1"/>
          <c:tx>
            <c:v>lognormal parameters</c:v>
          </c:tx>
          <c:spPr>
            <a:ln>
              <a:noFill/>
            </a:ln>
          </c:spPr>
          <c:marker>
            <c:symbol val="circle"/>
            <c:size val="6"/>
            <c:spPr>
              <a:solidFill>
                <a:srgbClr val="FFFF00"/>
              </a:solidFill>
            </c:spPr>
          </c:marker>
          <c:xVal>
            <c:numRef>
              <c:f>'Metalog IID lognormal'!$M$502:$M$511</c:f>
              <c:numCache>
                <c:formatCode>0.0</c:formatCode>
                <c:ptCount val="10"/>
                <c:pt idx="0">
                  <c:v>0</c:v>
                </c:pt>
                <c:pt idx="1">
                  <c:v>0.2194246930044432</c:v>
                </c:pt>
                <c:pt idx="2">
                  <c:v>0.39787411748326745</c:v>
                </c:pt>
                <c:pt idx="3">
                  <c:v>0.9033095606499516</c:v>
                </c:pt>
                <c:pt idx="4">
                  <c:v>1.4616811543533692</c:v>
                </c:pt>
                <c:pt idx="5">
                  <c:v>2.5108728761481856</c:v>
                </c:pt>
                <c:pt idx="6">
                  <c:v>4.3616350363913057</c:v>
                </c:pt>
                <c:pt idx="7">
                  <c:v>7.2473767489331626</c:v>
                </c:pt>
                <c:pt idx="8">
                  <c:v>18.103086663887289</c:v>
                </c:pt>
                <c:pt idx="9">
                  <c:v>36.883564702046783</c:v>
                </c:pt>
              </c:numCache>
            </c:numRef>
          </c:xVal>
          <c:yVal>
            <c:numRef>
              <c:f>'Metalog IID lognormal'!$M$488:$M$497</c:f>
              <c:numCache>
                <c:formatCode>0.000</c:formatCode>
                <c:ptCount val="10"/>
                <c:pt idx="0">
                  <c:v>0</c:v>
                </c:pt>
                <c:pt idx="1">
                  <c:v>1E-3</c:v>
                </c:pt>
                <c:pt idx="2">
                  <c:v>0.01</c:v>
                </c:pt>
                <c:pt idx="3">
                  <c:v>9.9999999999999992E-2</c:v>
                </c:pt>
                <c:pt idx="4">
                  <c:v>0.25000000000000006</c:v>
                </c:pt>
                <c:pt idx="5">
                  <c:v>0.50000000000000022</c:v>
                </c:pt>
                <c:pt idx="6">
                  <c:v>0.75000000000000044</c:v>
                </c:pt>
                <c:pt idx="7">
                  <c:v>0.90000000000000058</c:v>
                </c:pt>
                <c:pt idx="8">
                  <c:v>0.99000000000000066</c:v>
                </c:pt>
                <c:pt idx="9">
                  <c:v>0.999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BFE-453A-B6D6-AD0E6B9B57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6118272"/>
        <c:axId val="226124928"/>
        <c:extLst/>
      </c:scatterChart>
      <c:valAx>
        <c:axId val="226118272"/>
        <c:scaling>
          <c:orientation val="minMax"/>
        </c:scaling>
        <c:delete val="0"/>
        <c:axPos val="b"/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6124928"/>
        <c:crosses val="autoZero"/>
        <c:crossBetween val="midCat"/>
      </c:valAx>
      <c:valAx>
        <c:axId val="226124928"/>
        <c:scaling>
          <c:orientation val="minMax"/>
          <c:max val="1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6118272"/>
        <c:crosses val="autoZero"/>
        <c:crossBetween val="midCat"/>
        <c:maj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noFill/>
      <a:prstDash val="solid"/>
    </a:ln>
  </c:spPr>
  <c:txPr>
    <a:bodyPr/>
    <a:lstStyle/>
    <a:p>
      <a:pPr>
        <a:defRPr sz="3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'Metalog IID lognormal'!$M$516</c:f>
          <c:strCache>
            <c:ptCount val="1"/>
            <c:pt idx="0">
              <c:v>sum-of-2-IID-lognormals density</c:v>
            </c:pt>
          </c:strCache>
        </c:strRef>
      </c:tx>
      <c:layout>
        <c:manualLayout>
          <c:xMode val="edge"/>
          <c:yMode val="edge"/>
          <c:x val="0.25932007369549309"/>
          <c:y val="5.8857382091042298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358517582503712"/>
          <c:y val="0.16374315761820865"/>
          <c:w val="0.83126553055846675"/>
          <c:h val="0.69150579492170217"/>
        </c:manualLayout>
      </c:layout>
      <c:scatterChart>
        <c:scatterStyle val="smoothMarker"/>
        <c:varyColors val="0"/>
        <c:ser>
          <c:idx val="2"/>
          <c:order val="0"/>
          <c:tx>
            <c:v>lognormal PDF</c:v>
          </c:tx>
          <c:spPr>
            <a:ln w="25400">
              <a:solidFill>
                <a:schemeClr val="accent1">
                  <a:lumMod val="75000"/>
                </a:schemeClr>
              </a:solidFill>
            </a:ln>
          </c:spPr>
          <c:marker>
            <c:symbol val="none"/>
          </c:marker>
          <c:xVal>
            <c:numRef>
              <c:f>'Metalog IID lognormal'!$M$266:$M$372</c:f>
              <c:numCache>
                <c:formatCode>0.0</c:formatCode>
                <c:ptCount val="107"/>
                <c:pt idx="0">
                  <c:v>0</c:v>
                </c:pt>
                <c:pt idx="1">
                  <c:v>0.16448688873387329</c:v>
                </c:pt>
                <c:pt idx="2">
                  <c:v>0.21942469300443848</c:v>
                </c:pt>
                <c:pt idx="3">
                  <c:v>0.28806026675224777</c:v>
                </c:pt>
                <c:pt idx="4">
                  <c:v>0.34530939316055415</c:v>
                </c:pt>
                <c:pt idx="5">
                  <c:v>0.39787411748325591</c:v>
                </c:pt>
                <c:pt idx="6">
                  <c:v>0.49034143935624858</c:v>
                </c:pt>
                <c:pt idx="7">
                  <c:v>0.56090097044993847</c:v>
                </c:pt>
                <c:pt idx="8">
                  <c:v>0.62131825798413443</c:v>
                </c:pt>
                <c:pt idx="9">
                  <c:v>0.67568272009824781</c:v>
                </c:pt>
                <c:pt idx="10">
                  <c:v>0.72595619863938754</c:v>
                </c:pt>
                <c:pt idx="11">
                  <c:v>0.77325324079841207</c:v>
                </c:pt>
                <c:pt idx="12">
                  <c:v>0.81827907272388878</c:v>
                </c:pt>
                <c:pt idx="13">
                  <c:v>0.86151516539747353</c:v>
                </c:pt>
                <c:pt idx="14">
                  <c:v>0.9033095606499173</c:v>
                </c:pt>
                <c:pt idx="15">
                  <c:v>0.94392539135352871</c:v>
                </c:pt>
                <c:pt idx="16">
                  <c:v>0.9835689492117935</c:v>
                </c:pt>
                <c:pt idx="17">
                  <c:v>1.0224068908227186</c:v>
                </c:pt>
                <c:pt idx="18">
                  <c:v>1.0605772908184496</c:v>
                </c:pt>
                <c:pt idx="19">
                  <c:v>1.0981970227708624</c:v>
                </c:pt>
                <c:pt idx="20">
                  <c:v>1.1353668517969862</c:v>
                </c:pt>
                <c:pt idx="21">
                  <c:v>1.172175048561819</c:v>
                </c:pt>
                <c:pt idx="22">
                  <c:v>1.2087000178403082</c:v>
                </c:pt>
                <c:pt idx="23">
                  <c:v>1.2450122525368899</c:v>
                </c:pt>
                <c:pt idx="24">
                  <c:v>1.281175815105368</c:v>
                </c:pt>
                <c:pt idx="25">
                  <c:v>1.3172494810243265</c:v>
                </c:pt>
                <c:pt idx="26">
                  <c:v>1.3532876362256379</c:v>
                </c:pt>
                <c:pt idx="27">
                  <c:v>1.3893409925097242</c:v>
                </c:pt>
                <c:pt idx="28">
                  <c:v>1.425457166411342</c:v>
                </c:pt>
                <c:pt idx="29">
                  <c:v>1.4616811543533084</c:v>
                </c:pt>
                <c:pt idx="30">
                  <c:v>1.4980557281846898</c:v>
                </c:pt>
                <c:pt idx="31">
                  <c:v>1.5346217690503785</c:v>
                </c:pt>
                <c:pt idx="32">
                  <c:v>1.5714185531493141</c:v>
                </c:pt>
                <c:pt idx="33">
                  <c:v>1.6084839997642495</c:v>
                </c:pt>
                <c:pt idx="34">
                  <c:v>1.6458548896240826</c:v>
                </c:pt>
                <c:pt idx="35">
                  <c:v>1.6835670599443995</c:v>
                </c:pt>
                <c:pt idx="36">
                  <c:v>1.7216555812140695</c:v>
                </c:pt>
                <c:pt idx="37">
                  <c:v>1.7601549198377853</c:v>
                </c:pt>
                <c:pt idx="38">
                  <c:v>1.7990990900233603</c:v>
                </c:pt>
                <c:pt idx="39">
                  <c:v>1.8385217977593002</c:v>
                </c:pt>
                <c:pt idx="40">
                  <c:v>1.8784565793201766</c:v>
                </c:pt>
                <c:pt idx="41">
                  <c:v>1.9189369364338966</c:v>
                </c:pt>
                <c:pt idx="42">
                  <c:v>1.9599964700237715</c:v>
                </c:pt>
                <c:pt idx="43">
                  <c:v>2.0016690142830647</c:v>
                </c:pt>
                <c:pt idx="44">
                  <c:v>2.0439887727387234</c:v>
                </c:pt>
                <c:pt idx="45">
                  <c:v>2.0869904579058729</c:v>
                </c:pt>
                <c:pt idx="46">
                  <c:v>2.1307094361195906</c:v>
                </c:pt>
                <c:pt idx="47">
                  <c:v>2.1751818791517366</c:v>
                </c:pt>
                <c:pt idx="48">
                  <c:v>2.2204449242761251</c:v>
                </c:pt>
                <c:pt idx="49">
                  <c:v>2.2665368445343974</c:v>
                </c:pt>
                <c:pt idx="50">
                  <c:v>2.3134972310782622</c:v>
                </c:pt>
                <c:pt idx="51">
                  <c:v>2.3613671896231092</c:v>
                </c:pt>
                <c:pt idx="52">
                  <c:v>2.4101895532464659</c:v>
                </c:pt>
                <c:pt idx="53">
                  <c:v>2.4600091140066476</c:v>
                </c:pt>
                <c:pt idx="54">
                  <c:v>2.5108728761480803</c:v>
                </c:pt>
                <c:pt idx="55">
                  <c:v>2.5628303340074976</c:v>
                </c:pt>
                <c:pt idx="56">
                  <c:v>2.6159337781487864</c:v>
                </c:pt>
                <c:pt idx="57">
                  <c:v>2.6702386337453707</c:v>
                </c:pt>
                <c:pt idx="58">
                  <c:v>2.7258038358118784</c:v>
                </c:pt>
                <c:pt idx="59">
                  <c:v>2.7826922465792889</c:v>
                </c:pt>
                <c:pt idx="60">
                  <c:v>2.8409711211317301</c:v>
                </c:pt>
                <c:pt idx="61">
                  <c:v>2.9007126284058526</c:v>
                </c:pt>
                <c:pt idx="62">
                  <c:v>2.9619944358291872</c:v>
                </c:pt>
                <c:pt idx="63">
                  <c:v>3.0249003672843684</c:v>
                </c:pt>
                <c:pt idx="64">
                  <c:v>3.0895211457846541</c:v>
                </c:pt>
                <c:pt idx="65">
                  <c:v>3.1559552342997068</c:v>
                </c:pt>
                <c:pt idx="66">
                  <c:v>3.2243097906634941</c:v>
                </c:pt>
                <c:pt idx="67">
                  <c:v>3.2947017555363054</c:v>
                </c:pt>
                <c:pt idx="68">
                  <c:v>3.3672590961177487</c:v>
                </c:pt>
                <c:pt idx="69">
                  <c:v>3.4421222328946719</c:v>
                </c:pt>
                <c:pt idx="70">
                  <c:v>3.5194456823869715</c:v>
                </c:pt>
                <c:pt idx="71">
                  <c:v>3.5993999559249019</c:v>
                </c:pt>
                <c:pt idx="72">
                  <c:v>3.6821737633477496</c:v>
                </c:pt>
                <c:pt idx="73">
                  <c:v>3.7679765816769364</c:v>
                </c:pt>
                <c:pt idx="74">
                  <c:v>3.8570416629825792</c:v>
                </c:pt>
                <c:pt idx="75">
                  <c:v>3.9496295737681271</c:v>
                </c:pt>
                <c:pt idx="76">
                  <c:v>4.04603238151463</c:v>
                </c:pt>
                <c:pt idx="77">
                  <c:v>4.1465786342993418</c:v>
                </c:pt>
                <c:pt idx="78">
                  <c:v>4.2516393190489659</c:v>
                </c:pt>
                <c:pt idx="79">
                  <c:v>4.3616350363911316</c:v>
                </c:pt>
                <c:pt idx="80">
                  <c:v>4.4770447000255196</c:v>
                </c:pt>
                <c:pt idx="81">
                  <c:v>4.5984161629320983</c:v>
                </c:pt>
                <c:pt idx="82">
                  <c:v>4.7263793015815452</c:v>
                </c:pt>
                <c:pt idx="83">
                  <c:v>4.8616622673915044</c:v>
                </c:pt>
                <c:pt idx="84">
                  <c:v>5.0051118641426751</c:v>
                </c:pt>
                <c:pt idx="85">
                  <c:v>5.1577193647359039</c:v>
                </c:pt>
                <c:pt idx="86">
                  <c:v>5.3206535930742236</c:v>
                </c:pt>
                <c:pt idx="87">
                  <c:v>5.4953038503352332</c:v>
                </c:pt>
                <c:pt idx="88">
                  <c:v>5.6833363946739777</c:v>
                </c:pt>
                <c:pt idx="89">
                  <c:v>5.8867699143514995</c:v>
                </c:pt>
                <c:pt idx="90">
                  <c:v>6.1080781509144959</c:v>
                </c:pt>
                <c:pt idx="91">
                  <c:v>6.3503322093256438</c:v>
                </c:pt>
                <c:pt idx="92">
                  <c:v>6.6174023735403988</c:v>
                </c:pt>
                <c:pt idx="93">
                  <c:v>6.9142517792047196</c:v>
                </c:pt>
                <c:pt idx="94">
                  <c:v>7.2473767489328829</c:v>
                </c:pt>
                <c:pt idx="95">
                  <c:v>7.6254907433092365</c:v>
                </c:pt>
                <c:pt idx="96">
                  <c:v>8.0606324747099531</c:v>
                </c:pt>
                <c:pt idx="97">
                  <c:v>8.5700558626213006</c:v>
                </c:pt>
                <c:pt idx="98">
                  <c:v>9.1796665532933854</c:v>
                </c:pt>
                <c:pt idx="99">
                  <c:v>9.9308058008190532</c:v>
                </c:pt>
                <c:pt idx="100">
                  <c:v>10.89519722763742</c:v>
                </c:pt>
                <c:pt idx="101">
                  <c:v>12.213425807802082</c:v>
                </c:pt>
                <c:pt idx="102">
                  <c:v>14.221177273293145</c:v>
                </c:pt>
                <c:pt idx="103">
                  <c:v>18.103086663886625</c:v>
                </c:pt>
                <c:pt idx="104">
                  <c:v>21.387326492944286</c:v>
                </c:pt>
                <c:pt idx="105">
                  <c:v>26.549093685103585</c:v>
                </c:pt>
                <c:pt idx="106">
                  <c:v>36.883564702045362</c:v>
                </c:pt>
              </c:numCache>
            </c:numRef>
          </c:xVal>
          <c:yVal>
            <c:numRef>
              <c:f>'Metalog IID lognormal'!$M$377:$M$483</c:f>
              <c:numCache>
                <c:formatCode>0.00</c:formatCode>
                <c:ptCount val="107"/>
                <c:pt idx="0">
                  <c:v>0</c:v>
                </c:pt>
                <c:pt idx="1">
                  <c:v>7.6920722217065493E-3</c:v>
                </c:pt>
                <c:pt idx="2">
                  <c:v>1.8795067547555683E-2</c:v>
                </c:pt>
                <c:pt idx="3">
                  <c:v>4.0888558092909484E-2</c:v>
                </c:pt>
                <c:pt idx="4">
                  <c:v>6.4457913014740228E-2</c:v>
                </c:pt>
                <c:pt idx="5">
                  <c:v>8.7836752694176803E-2</c:v>
                </c:pt>
                <c:pt idx="6">
                  <c:v>0.12784309845895714</c:v>
                </c:pt>
                <c:pt idx="7">
                  <c:v>0.155035845282156</c:v>
                </c:pt>
                <c:pt idx="8">
                  <c:v>0.175577967601315</c:v>
                </c:pt>
                <c:pt idx="9">
                  <c:v>0.19199699935289247</c:v>
                </c:pt>
                <c:pt idx="10">
                  <c:v>0.20558261215342585</c:v>
                </c:pt>
                <c:pt idx="11">
                  <c:v>0.21707712180165015</c:v>
                </c:pt>
                <c:pt idx="12">
                  <c:v>0.22694297264099028</c:v>
                </c:pt>
                <c:pt idx="13">
                  <c:v>0.23548530428275707</c:v>
                </c:pt>
                <c:pt idx="14">
                  <c:v>0.24291476051660396</c:v>
                </c:pt>
                <c:pt idx="15">
                  <c:v>0.24938238533088081</c:v>
                </c:pt>
                <c:pt idx="16">
                  <c:v>0.25500023568066016</c:v>
                </c:pt>
                <c:pt idx="17">
                  <c:v>0.25985415196467199</c:v>
                </c:pt>
                <c:pt idx="18">
                  <c:v>0.26401197240034863</c:v>
                </c:pt>
                <c:pt idx="19">
                  <c:v>0.26752897441173396</c:v>
                </c:pt>
                <c:pt idx="20">
                  <c:v>0.27045156122820224</c:v>
                </c:pt>
                <c:pt idx="21">
                  <c:v>0.27281980090794145</c:v>
                </c:pt>
                <c:pt idx="22">
                  <c:v>0.27466919384418309</c:v>
                </c:pt>
                <c:pt idx="23">
                  <c:v>0.27603190957585888</c:v>
                </c:pt>
                <c:pt idx="24">
                  <c:v>0.27693765181413582</c:v>
                </c:pt>
                <c:pt idx="25">
                  <c:v>0.27741425941132108</c:v>
                </c:pt>
                <c:pt idx="26">
                  <c:v>0.27748811808000806</c:v>
                </c:pt>
                <c:pt idx="27">
                  <c:v>0.27718443591890701</c:v>
                </c:pt>
                <c:pt idx="28">
                  <c:v>0.27652742105400802</c:v>
                </c:pt>
                <c:pt idx="29">
                  <c:v>0.27554038945518505</c:v>
                </c:pt>
                <c:pt idx="30">
                  <c:v>0.2742458236985027</c:v>
                </c:pt>
                <c:pt idx="31">
                  <c:v>0.27266539814622198</c:v>
                </c:pt>
                <c:pt idx="32">
                  <c:v>0.27081998209109337</c:v>
                </c:pt>
                <c:pt idx="33">
                  <c:v>0.2687296294557025</c:v>
                </c:pt>
                <c:pt idx="34">
                  <c:v>0.26641356138342132</c:v>
                </c:pt>
                <c:pt idx="35">
                  <c:v>0.26389014632320074</c:v>
                </c:pt>
                <c:pt idx="36">
                  <c:v>0.26117688086985275</c:v>
                </c:pt>
                <c:pt idx="37">
                  <c:v>0.2582903735848418</c:v>
                </c:pt>
                <c:pt idx="38">
                  <c:v>0.25524633322429757</c:v>
                </c:pt>
                <c:pt idx="39">
                  <c:v>0.25205956219161674</c:v>
                </c:pt>
                <c:pt idx="40">
                  <c:v>0.24874395557358597</c:v>
                </c:pt>
                <c:pt idx="41">
                  <c:v>0.24531250578135733</c:v>
                </c:pt>
                <c:pt idx="42">
                  <c:v>0.24177731257665014</c:v>
                </c:pt>
                <c:pt idx="43">
                  <c:v>0.23814959809950856</c:v>
                </c:pt>
                <c:pt idx="44">
                  <c:v>0.23443972641057467</c:v>
                </c:pt>
                <c:pt idx="45">
                  <c:v>0.23065722700472829</c:v>
                </c:pt>
                <c:pt idx="46">
                  <c:v>0.2268108217330421</c:v>
                </c:pt>
                <c:pt idx="47">
                  <c:v>0.22290845457718175</c:v>
                </c:pt>
                <c:pt idx="48">
                  <c:v>0.21895732374722998</c:v>
                </c:pt>
                <c:pt idx="49">
                  <c:v>0.21496391561439576</c:v>
                </c:pt>
                <c:pt idx="50">
                  <c:v>0.21093404003937835</c:v>
                </c:pt>
                <c:pt idx="51">
                  <c:v>0.20687286671148405</c:v>
                </c:pt>
                <c:pt idx="52">
                  <c:v>0.20278496216998732</c:v>
                </c:pt>
                <c:pt idx="53">
                  <c:v>0.19867432723543615</c:v>
                </c:pt>
                <c:pt idx="54">
                  <c:v>0.19454443463293089</c:v>
                </c:pt>
                <c:pt idx="55">
                  <c:v>0.19039826664063308</c:v>
                </c:pt>
                <c:pt idx="56">
                  <c:v>0.18623835264401092</c:v>
                </c:pt>
                <c:pt idx="57">
                  <c:v>0.18206680651899507</c:v>
                </c:pt>
                <c:pt idx="58">
                  <c:v>0.17788536380489958</c:v>
                </c:pt>
                <c:pt idx="59">
                  <c:v>0.17369541866040084</c:v>
                </c:pt>
                <c:pt idx="60">
                  <c:v>0.1694980606228742</c:v>
                </c:pt>
                <c:pt idx="61">
                  <c:v>0.16529411121286042</c:v>
                </c:pt>
                <c:pt idx="62">
                  <c:v>0.16108416044125015</c:v>
                </c:pt>
                <c:pt idx="63">
                  <c:v>0.15686860328686017</c:v>
                </c:pt>
                <c:pt idx="64">
                  <c:v>0.15264767621630029</c:v>
                </c:pt>
                <c:pt idx="65">
                  <c:v>0.14842149381628592</c:v>
                </c:pt>
                <c:pt idx="66">
                  <c:v>0.14419008560069649</c:v>
                </c:pt>
                <c:pt idx="67">
                  <c:v>0.13995343304057642</c:v>
                </c:pt>
                <c:pt idx="68">
                  <c:v>0.13571150684481714</c:v>
                </c:pt>
                <c:pt idx="69">
                  <c:v>0.1314643044923611</c:v>
                </c:pt>
                <c:pt idx="70">
                  <c:v>0.12721188798345165</c:v>
                </c:pt>
                <c:pt idx="71">
                  <c:v>0.12295442173784576</c:v>
                </c:pt>
                <c:pt idx="72">
                  <c:v>0.11869221052231246</c:v>
                </c:pt>
                <c:pt idx="73">
                  <c:v>0.11442573723869028</c:v>
                </c:pt>
                <c:pt idx="74">
                  <c:v>0.11015570034809341</c:v>
                </c:pt>
                <c:pt idx="75">
                  <c:v>0.10588305064769318</c:v>
                </c:pt>
                <c:pt idx="76">
                  <c:v>0.10160902705544037</c:v>
                </c:pt>
                <c:pt idx="77">
                  <c:v>9.7335190997148449E-2</c:v>
                </c:pt>
                <c:pt idx="78">
                  <c:v>9.3063458932083523E-2</c:v>
                </c:pt>
                <c:pt idx="79">
                  <c:v>8.8796132500662234E-2</c:v>
                </c:pt>
                <c:pt idx="80">
                  <c:v>8.4535925734693498E-2</c:v>
                </c:pt>
                <c:pt idx="81">
                  <c:v>8.0285988741020164E-2</c:v>
                </c:pt>
                <c:pt idx="82">
                  <c:v>7.6049927258202268E-2</c:v>
                </c:pt>
                <c:pt idx="83">
                  <c:v>7.1831817498408085E-2</c:v>
                </c:pt>
                <c:pt idx="84">
                  <c:v>6.7636215728974269E-2</c:v>
                </c:pt>
                <c:pt idx="85">
                  <c:v>6.3468162127017475E-2</c:v>
                </c:pt>
                <c:pt idx="86">
                  <c:v>5.933317856412533E-2</c:v>
                </c:pt>
                <c:pt idx="87">
                  <c:v>5.5237260156682323E-2</c:v>
                </c:pt>
                <c:pt idx="88">
                  <c:v>5.118686066462963E-2</c:v>
                </c:pt>
                <c:pt idx="89">
                  <c:v>4.7188872158005699E-2</c:v>
                </c:pt>
                <c:pt idx="90">
                  <c:v>4.3250599829554981E-2</c:v>
                </c:pt>
                <c:pt idx="91">
                  <c:v>3.937973346959299E-2</c:v>
                </c:pt>
                <c:pt idx="92">
                  <c:v>3.5584318037416761E-2</c:v>
                </c:pt>
                <c:pt idx="93">
                  <c:v>3.1872727150179525E-2</c:v>
                </c:pt>
                <c:pt idx="94">
                  <c:v>2.8253645528931382E-2</c:v>
                </c:pt>
                <c:pt idx="95">
                  <c:v>2.4736070224056231E-2</c:v>
                </c:pt>
                <c:pt idx="96">
                  <c:v>2.132934733402312E-2</c:v>
                </c:pt>
                <c:pt idx="97">
                  <c:v>1.804327439593895E-2</c:v>
                </c:pt>
                <c:pt idx="98">
                  <c:v>1.488832701513578E-2</c:v>
                </c:pt>
                <c:pt idx="99">
                  <c:v>1.1876133676215627E-2</c:v>
                </c:pt>
                <c:pt idx="100">
                  <c:v>9.0204905806736176E-3</c:v>
                </c:pt>
                <c:pt idx="101">
                  <c:v>6.3397066781063945E-3</c:v>
                </c:pt>
                <c:pt idx="102">
                  <c:v>3.8628923403979921E-3</c:v>
                </c:pt>
                <c:pt idx="103">
                  <c:v>1.6522952866086223E-3</c:v>
                </c:pt>
                <c:pt idx="104">
                  <c:v>8.7873365498474095E-4</c:v>
                </c:pt>
                <c:pt idx="105">
                  <c:v>3.6967257932954824E-4</c:v>
                </c:pt>
                <c:pt idx="106">
                  <c:v>9.2088826542028861E-5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0-2602-4735-A805-CA43065DA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6711424"/>
        <c:axId val="226717696"/>
        <c:extLst/>
      </c:scatterChart>
      <c:valAx>
        <c:axId val="226711424"/>
        <c:scaling>
          <c:orientation val="minMax"/>
        </c:scaling>
        <c:delete val="0"/>
        <c:axPos val="b"/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6717696"/>
        <c:crosses val="autoZero"/>
        <c:crossBetween val="midCat"/>
      </c:valAx>
      <c:valAx>
        <c:axId val="226717696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6711424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3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257175</xdr:colOff>
      <xdr:row>27</xdr:row>
      <xdr:rowOff>69850</xdr:rowOff>
    </xdr:from>
    <xdr:to>
      <xdr:col>22</xdr:col>
      <xdr:colOff>254577</xdr:colOff>
      <xdr:row>43</xdr:row>
      <xdr:rowOff>75810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3E51AB95-F9D3-44B0-B292-0DDE51A59D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339501</xdr:colOff>
      <xdr:row>27</xdr:row>
      <xdr:rowOff>24314</xdr:rowOff>
    </xdr:from>
    <xdr:to>
      <xdr:col>29</xdr:col>
      <xdr:colOff>330777</xdr:colOff>
      <xdr:row>43</xdr:row>
      <xdr:rowOff>75114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0EAFF099-66A9-4541-AE12-2EA368DA50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257175</xdr:colOff>
      <xdr:row>44</xdr:row>
      <xdr:rowOff>12700</xdr:rowOff>
    </xdr:from>
    <xdr:to>
      <xdr:col>22</xdr:col>
      <xdr:colOff>247650</xdr:colOff>
      <xdr:row>60</xdr:row>
      <xdr:rowOff>69850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BFC1DA9A-9388-46C3-B441-C4045ABA2B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349026</xdr:colOff>
      <xdr:row>44</xdr:row>
      <xdr:rowOff>2378</xdr:rowOff>
    </xdr:from>
    <xdr:to>
      <xdr:col>29</xdr:col>
      <xdr:colOff>333375</xdr:colOff>
      <xdr:row>60</xdr:row>
      <xdr:rowOff>59528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29EB2F18-CAC0-461E-B77C-0E7E380E94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6574</xdr:colOff>
      <xdr:row>10</xdr:row>
      <xdr:rowOff>0</xdr:rowOff>
    </xdr:from>
    <xdr:to>
      <xdr:col>9</xdr:col>
      <xdr:colOff>500816</xdr:colOff>
      <xdr:row>26</xdr:row>
      <xdr:rowOff>50003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507BBA1A-2BEC-42AE-AEFB-AC92A021DC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26</xdr:row>
      <xdr:rowOff>101862</xdr:rowOff>
    </xdr:from>
    <xdr:to>
      <xdr:col>9</xdr:col>
      <xdr:colOff>488116</xdr:colOff>
      <xdr:row>43</xdr:row>
      <xdr:rowOff>4495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5C23F5EB-14C2-4F8C-B6BB-B41D2276B0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10</xdr:row>
      <xdr:rowOff>0</xdr:rowOff>
    </xdr:from>
    <xdr:to>
      <xdr:col>9</xdr:col>
      <xdr:colOff>485775</xdr:colOff>
      <xdr:row>25</xdr:row>
      <xdr:rowOff>177003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EC18CCAC-0955-4F86-BBEC-D6FEFFD48A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6126</xdr:colOff>
      <xdr:row>26</xdr:row>
      <xdr:rowOff>40478</xdr:rowOff>
    </xdr:from>
    <xdr:to>
      <xdr:col>9</xdr:col>
      <xdr:colOff>485775</xdr:colOff>
      <xdr:row>42</xdr:row>
      <xdr:rowOff>91278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73E477BC-A55D-4675-B677-DB258A73F2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C2:I22"/>
  <sheetViews>
    <sheetView workbookViewId="0"/>
  </sheetViews>
  <sheetFormatPr defaultRowHeight="14.5" x14ac:dyDescent="0.35"/>
  <cols>
    <col min="1" max="1" width="2.1796875" customWidth="1"/>
  </cols>
  <sheetData>
    <row r="2" spans="3:8" x14ac:dyDescent="0.35">
      <c r="F2" s="24" t="s">
        <v>16</v>
      </c>
      <c r="G2" s="24"/>
      <c r="H2" s="24"/>
    </row>
    <row r="5" spans="3:8" ht="15" x14ac:dyDescent="0.4">
      <c r="C5" s="12" t="s">
        <v>11</v>
      </c>
      <c r="D5" s="13"/>
      <c r="E5" s="14" t="s">
        <v>12</v>
      </c>
    </row>
    <row r="18" spans="3:9" x14ac:dyDescent="0.35">
      <c r="F18" s="24" t="s">
        <v>16</v>
      </c>
    </row>
    <row r="19" spans="3:9" x14ac:dyDescent="0.35">
      <c r="C19" s="2" t="s">
        <v>23</v>
      </c>
      <c r="D19" s="23"/>
      <c r="E19" s="23"/>
      <c r="F19" s="3"/>
      <c r="G19" s="2" t="str">
        <f>"sum of n IID triangulars"</f>
        <v>sum of n IID triangulars</v>
      </c>
      <c r="H19" s="23"/>
      <c r="I19" s="3"/>
    </row>
    <row r="22" spans="3:9" x14ac:dyDescent="0.35">
      <c r="E22" s="14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D1:AN517"/>
  <sheetViews>
    <sheetView tabSelected="1" topLeftCell="A474" workbookViewId="0">
      <selection activeCell="M515" sqref="M515"/>
    </sheetView>
  </sheetViews>
  <sheetFormatPr defaultRowHeight="14.5" x14ac:dyDescent="0.35"/>
  <cols>
    <col min="1" max="1" width="2" customWidth="1"/>
    <col min="2" max="3" width="2.1796875" customWidth="1"/>
    <col min="4" max="4" width="9.81640625" customWidth="1"/>
    <col min="5" max="5" width="8" customWidth="1"/>
    <col min="6" max="6" width="9.54296875" customWidth="1"/>
    <col min="7" max="7" width="9" customWidth="1"/>
    <col min="8" max="8" width="9.1796875" customWidth="1"/>
    <col min="9" max="9" width="11.1796875" customWidth="1"/>
    <col min="10" max="10" width="7.7265625" customWidth="1"/>
    <col min="11" max="11" width="2" customWidth="1"/>
    <col min="12" max="12" width="9.26953125" customWidth="1"/>
    <col min="13" max="13" width="8.81640625" customWidth="1"/>
    <col min="14" max="39" width="7.1796875" customWidth="1"/>
    <col min="40" max="40" width="6.7265625" customWidth="1"/>
    <col min="42" max="42" width="8.54296875" customWidth="1"/>
  </cols>
  <sheetData>
    <row r="1" spans="8:13" ht="7.5" customHeight="1" x14ac:dyDescent="0.35"/>
    <row r="2" spans="8:13" ht="14.15" customHeight="1" x14ac:dyDescent="0.35">
      <c r="H2" s="91"/>
      <c r="I2" s="98"/>
      <c r="J2" s="98"/>
      <c r="K2" s="99" t="s">
        <v>30</v>
      </c>
      <c r="L2" s="67" t="s">
        <v>25</v>
      </c>
      <c r="M2" s="83">
        <v>0</v>
      </c>
    </row>
    <row r="3" spans="8:13" ht="14.15" customHeight="1" x14ac:dyDescent="0.35">
      <c r="H3" s="100"/>
      <c r="I3" s="92"/>
      <c r="J3" s="92"/>
      <c r="K3" s="101"/>
      <c r="L3" s="67" t="s">
        <v>26</v>
      </c>
      <c r="M3" s="84">
        <v>10</v>
      </c>
    </row>
    <row r="4" spans="8:13" ht="14.15" customHeight="1" x14ac:dyDescent="0.35">
      <c r="H4" s="100"/>
      <c r="I4" s="92"/>
      <c r="J4" s="92"/>
      <c r="K4" s="101"/>
      <c r="L4" s="67" t="s">
        <v>27</v>
      </c>
      <c r="M4" s="84">
        <v>10</v>
      </c>
    </row>
    <row r="5" spans="8:13" ht="14.15" customHeight="1" x14ac:dyDescent="0.35">
      <c r="H5" s="102"/>
      <c r="I5" s="103"/>
      <c r="J5" s="103"/>
      <c r="K5" s="104"/>
      <c r="L5" s="67" t="s">
        <v>29</v>
      </c>
      <c r="M5" s="85">
        <v>2</v>
      </c>
    </row>
    <row r="6" spans="8:13" ht="14.15" customHeight="1" x14ac:dyDescent="0.35">
      <c r="H6" s="91"/>
      <c r="I6" s="98"/>
      <c r="J6" s="98"/>
      <c r="K6" s="105"/>
      <c r="L6" s="4" t="s">
        <v>13</v>
      </c>
      <c r="M6" s="88">
        <v>0.5</v>
      </c>
    </row>
    <row r="7" spans="8:13" ht="14.15" customHeight="1" x14ac:dyDescent="0.35">
      <c r="H7" s="100"/>
      <c r="I7" s="92"/>
      <c r="J7" s="92"/>
      <c r="K7" s="106" t="str">
        <f>"sum of n IID triangulars"</f>
        <v>sum of n IID triangulars</v>
      </c>
      <c r="L7" s="66" t="s">
        <v>14</v>
      </c>
      <c r="M7" s="89">
        <f>IF( M5=1, IF( M2 &gt; M3, NA(), IF( M3 &gt; M4, NA(), IF( M2 = M4, M3, IF( M6 &lt; (( M3 - M2 ) / ( M4 - M2 )), M2 + SQRT( M6 * ( M3 - M2 ) * ( M4 - M2 )), M4 - SQRT(( 1 - M6 ) * ( M4 - M2 ) * ( M4 - M3 )))))), IF(M6=0,M5*M2,IF(M6=1,M5*M4,M5*(M2+M4*EXP(M13+M14*LN(M6/(1-M6))+M15*(M6-0.5)*LN(M6/(1-M6))+M16*(M6-0.5)+M17*(M6-0.5)^2+M18*(M6-0.5)^2*LN(M6/(1-M6))+M19*(M6-0.5)^3+M20*(M6-0.5)^3*LN(M6/(1-M6))+M21*(M6-0.5)^4))/(1+EXP(M13+M14*LN(M6/(1-M6))+M15*(M6-0.5)*LN(M6/(1-M6))+M16*(M6-0.5)+M17*(M6-0.5)^2+M18*(M6-0.5)^2*LN(M6/(1-M6))+M19*(M6-0.5)^3+M20*(M6-0.5)^3*LN(M6/(1-M6))+M21*(M6-0.5)^4)))))</f>
        <v>13.584097609907939</v>
      </c>
    </row>
    <row r="8" spans="8:13" ht="14.15" customHeight="1" x14ac:dyDescent="0.35">
      <c r="H8" s="102"/>
      <c r="I8" s="103"/>
      <c r="J8" s="103"/>
      <c r="K8" s="104"/>
      <c r="L8" s="11" t="s">
        <v>15</v>
      </c>
      <c r="M8" s="17">
        <f>IF(OR(M6=0,M6=1),0,((M14/(M6*(1-M6))+M15*((M6-0.5)/(M6*(1-M6))+LN(M6/(1-M6)))+M16+2*M17*(M6-0.5)+M18*((M6-0.5)^2/(M6*(1-M6))+2*(M6-0.5)*LN(M6/(1-M6)))+3*M19*(M6-0.5)^2+M20*((M6-0.5)^3/(M6*(1-M6))+3*(M6-0.5)^2*LN(M6/(1-M6)))+4*M21*(M6-0.5)^3)^-1)*(1+EXP(M13+M14*LN(M6/(1-M6))+M15*(M6-0.5)*LN(M6/(1-M6))+M16*(M6-0.5)+M17*(M6-0.5)^2+M18*(M6-0.5)^2*LN(M6/(1-M6))+M19*(M6-0.5)^3+M20*(M6-0.5)^3*LN(M6/(1-M6))+M21*(M6-0.5)^4))^2/(M5*(M4-M2)*EXP(M13+M14*LN(M6/(1-M6))+M15*(M6-0.5)*LN(M6/(1-M6))+M16*(M6-0.5)+M17*(M6-0.5)^2+M18*(M6-0.5)^2*LN(M6/(1-M6))+M19*(M6-0.5)^3+M20*(M6-0.5)^3*LN(M6/(1-M6))+M21*(M6-0.5)^4)))</f>
        <v>0.10898828135258977</v>
      </c>
    </row>
    <row r="9" spans="8:13" ht="7.5" customHeight="1" x14ac:dyDescent="0.35"/>
    <row r="10" spans="8:13" ht="14.5" customHeight="1" x14ac:dyDescent="0.35">
      <c r="M10" s="4" t="s">
        <v>24</v>
      </c>
    </row>
    <row r="11" spans="8:13" ht="14.5" customHeight="1" x14ac:dyDescent="0.35">
      <c r="M11" s="66" t="s">
        <v>7</v>
      </c>
    </row>
    <row r="12" spans="8:13" ht="14.5" customHeight="1" x14ac:dyDescent="0.35">
      <c r="M12" s="67" t="s">
        <v>8</v>
      </c>
    </row>
    <row r="13" spans="8:13" ht="14.5" customHeight="1" x14ac:dyDescent="0.35">
      <c r="M13" s="16">
        <f t="array" ref="M13:M21">MMULT($O$26:$W$34,((LN(INDEX($N$43:$AN$150,9*LOOKUP((M3-M2)/(M4-M2),$M$26:$M$37,$L$26:$L$37)-8,LOOKUP(M5,$N$42:$AN$42,$N$41:$AN$41)):INDEX($N$43:$AN$150,9*LOOKUP((M3-M2)/(M4-M2),$M$26:$M$37,$L$26:$L$37),LOOKUP(M5,$N$42:$AN$42,$N$41:$AN$41))/(1-INDEX($N$43:$AN$150,9*LOOKUP((M3-M2)/(M4-M2),$M$26:$M$37,$L$26:$L$37)-8,LOOKUP(M5,$N$42:$AN$42,$N$41:$AN$41)):INDEX($N$43:$AN$150,9*LOOKUP((M3-M2)/(M4-M2),$M$26:$M$37,$L$26:$L$37),LOOKUP(M5,$N$42:$AN$42,$N$41:$AN$41)))))*((INDEX($N$42:$AN$42,1,LOOKUP(M5,$N$42:$AN$42,$N$41:$AN$41)+1)-M5)/(INDEX($N$42:$AN$42,1,LOOKUP(M5,$N$42:$AN$42,$N$41:$AN$41)+1)-INDEX($N$42:$AN$42,1,LOOKUP(M5,$N$42:$AN$42,$N$41:$AN$41))))+(LN(INDEX($N$43:$AN$150,9*LOOKUP((M3-M2)/(M4-M2),$M$26:$M$37,$L$26:$L$37)-8,LOOKUP(M5,$N$42:$AN$42,$N$41:$AN$41)+1):INDEX($N$43:$AN$150,9*LOOKUP((M3-M2)/(M4-M2),$M$26:$M$37,$L$26:$L$37),LOOKUP(M5,$N$42:$AN$42,$N$41:$AN$41)+1)/(1-INDEX($N$43:$AN$150,9*LOOKUP((M3-M2)/(M4-M2),$M$26:$M$37,$L$26:$L$37)-8,LOOKUP(M5,$N$42:$AN$42,$N$41:$AN$41)+1):INDEX($N$43:$AN$150,9*LOOKUP((M3-M2)/(M4-M2),$M$26:$M$37,$L$26:$L$37),LOOKUP(M5,$N$42:$AN$42,$N$41:$AN$41)+1))))*(1-((INDEX($N$42:$AN$42,1,LOOKUP(M5,$N$42:$AN$42,$N$41:$AN$41)+1)-M5)/(INDEX($N$42:$AN$42,1,LOOKUP(M5,$N$42:$AN$42,$N$41:$AN$41)+1)-INDEX($N$42:$AN$42,1,LOOKUP(M5,$N$42:$AN$42,$N$41:$AN$41))))))*((INDEX($M$26:$M$37,LOOKUP((M3-M2)/(M4-M2),$M$26:$M$37,$L$26:$L$37)+1,1)-(M3-M2)/(M4-M2))/(INDEX($M$26:$M$37,LOOKUP((M3-M2)/(M4-M2),$M$26:$M$37,$L$26:$L$37)+1,1)-INDEX($M$26:$M$37,LOOKUP((M3-M2)/(M4-M2),$M$26:$M$37,$L$26:$L$37),1)))+((LN(INDEX($N$43:$AN$150,9*LOOKUP((M3-M2)/(M4-M2),$M$26:$M$37,$L$26:$L$37)+1,LOOKUP(M5,$N$42:$AN$42,$N$41:$AN$41)):INDEX($N$43:$AN$150,9*LOOKUP((M3-M2)/(M4-M2),$M$26:$M$37,$L$26:$L$37)+9,LOOKUP(M5,$N$42:$AN$42,$N$41:$AN$41))/(1-INDEX($N$43:$AN$150,9*LOOKUP((M3-M2)/(M4-M2),$M$26:$M$37,$L$26:$L$37)+1,LOOKUP(M5,$N$42:$AN$42,$N$41:$AN$41)):INDEX($N$43:$AN$150,9*LOOKUP((M3-M2)/(M4-M2),$M$26:$M$37,$L$26:$L$37)+9,LOOKUP(M5,$N$42:$AN$42,$N$41:$AN$41)))))*((INDEX($N$42:$AN$42,1,LOOKUP(M5,$N$42:$AN$42,$N$41:$AN$41)+1)-M5)/(INDEX($N$42:$AN$42,1,LOOKUP(M5,$N$42:$AN$42,$N$41:$AN$41)+1)-INDEX($N$42:$AN$42,1,LOOKUP(M5,$N$42:$AN$42,$N$41:$AN$41))))+(LN(INDEX($N$43:$AN$150,9*LOOKUP((M3-M2)/(M4-M2),$M$26:$M$37,$L$26:$L$37)+1,LOOKUP(M5,$N$42:$AN$42,$N$41:$AN$41)+1):INDEX($N$43:$AN$150,9*LOOKUP((M3-M2)/(M4-M2),$M$26:$M$37,$L$26:$L$37)+9,LOOKUP(M5,$N$42:$AN$42,$N$41:$AN$41)+1)/(1-INDEX($N$43:$AN$150,9*LOOKUP((M3-M2)/(M4-M2),$M$26:$M$37,$L$26:$L$37)+1,LOOKUP(M5,$N$42:$AN$42,$N$41:$AN$41)+1):INDEX($N$43:$AN$150,9*LOOKUP((M3-M2)/(M4-M2),$M$26:$M$37,$L$26:$L$37)+9,LOOKUP(M5,$N$42:$AN$42,$N$41:$AN$41)+1))))*(1-((INDEX($N$42:$AN$42,1,LOOKUP(M5,$N$42:$AN$42,$N$41:$AN$41)+1)-M5)/(INDEX($N$42:$AN$42,1,LOOKUP(M5,$N$42:$AN$42,$N$41:$AN$41)+1)-INDEX($N$42:$AN$42,1,LOOKUP(M5,$N$42:$AN$42,$N$41:$AN$41))))))*(1-(INDEX($M$26:$M$37,LOOKUP((M3-M2)/(M4-M2),$M$26:$M$37,$L$26:$L$37)+1,1)-(M3-M2)/(M4-M2))/(INDEX($M$26:$M$37,LOOKUP((M3-M2)/(M4-M2),$M$26:$M$37,$L$26:$L$37)+1,1)-INDEX($M$26:$M$37,LOOKUP((M3-M2)/(M4-M2),$M$26:$M$37,$L$26:$L$37),1))))</f>
        <v>0.75012015826184031</v>
      </c>
    </row>
    <row r="14" spans="8:13" ht="14.5" customHeight="1" x14ac:dyDescent="0.35">
      <c r="M14" s="16">
        <v>0.17828575966421667</v>
      </c>
    </row>
    <row r="15" spans="8:13" ht="14.5" customHeight="1" x14ac:dyDescent="0.35">
      <c r="M15" s="16">
        <v>0.63683212081435059</v>
      </c>
    </row>
    <row r="16" spans="8:13" ht="14.5" customHeight="1" x14ac:dyDescent="0.35">
      <c r="M16" s="16">
        <v>1.3923880089873393</v>
      </c>
    </row>
    <row r="17" spans="4:40" ht="14.5" customHeight="1" x14ac:dyDescent="0.35">
      <c r="M17" s="16">
        <v>-2.061294124246956</v>
      </c>
    </row>
    <row r="18" spans="4:40" ht="14.5" customHeight="1" x14ac:dyDescent="0.35">
      <c r="M18" s="16">
        <v>0.87973230084826071</v>
      </c>
    </row>
    <row r="19" spans="4:40" ht="14.5" customHeight="1" x14ac:dyDescent="0.35">
      <c r="M19" s="16">
        <v>-2.3431798933347352</v>
      </c>
    </row>
    <row r="20" spans="4:40" ht="14.5" customHeight="1" x14ac:dyDescent="0.35">
      <c r="M20" s="16">
        <v>-1.5752911429124126</v>
      </c>
    </row>
    <row r="21" spans="4:40" ht="14.5" customHeight="1" x14ac:dyDescent="0.35">
      <c r="M21" s="17">
        <v>4.2955594573920166</v>
      </c>
    </row>
    <row r="22" spans="4:40" ht="7.5" customHeight="1" x14ac:dyDescent="0.35"/>
    <row r="23" spans="4:40" x14ac:dyDescent="0.35">
      <c r="L23" s="5" t="s">
        <v>2</v>
      </c>
      <c r="M23" s="6"/>
      <c r="N23" s="6"/>
      <c r="O23" s="5"/>
      <c r="P23" s="6"/>
      <c r="Q23" s="6"/>
      <c r="R23" s="5"/>
      <c r="S23" s="6"/>
      <c r="T23" s="6"/>
      <c r="U23" s="5"/>
      <c r="V23" s="6"/>
      <c r="W23" s="6"/>
      <c r="X23" s="5"/>
      <c r="Y23" s="6"/>
      <c r="Z23" s="6"/>
      <c r="AA23" s="5"/>
      <c r="AB23" s="6"/>
      <c r="AC23" s="6"/>
      <c r="AD23" s="5"/>
      <c r="AE23" s="6"/>
      <c r="AF23" s="6"/>
      <c r="AG23" s="5"/>
      <c r="AH23" s="6"/>
      <c r="AI23" s="6"/>
      <c r="AJ23" s="5"/>
      <c r="AK23" s="6"/>
      <c r="AL23" s="6"/>
      <c r="AM23" s="7"/>
      <c r="AN23" s="7"/>
    </row>
    <row r="25" spans="4:40" ht="16.5" x14ac:dyDescent="0.35">
      <c r="L25" s="2" t="s">
        <v>28</v>
      </c>
      <c r="M25" s="3"/>
      <c r="O25" s="5" t="s">
        <v>10</v>
      </c>
      <c r="P25" s="6"/>
      <c r="Q25" s="6"/>
      <c r="R25" s="6"/>
      <c r="S25" s="6"/>
      <c r="T25" s="6"/>
      <c r="U25" s="6"/>
      <c r="V25" s="6"/>
      <c r="W25" s="7"/>
    </row>
    <row r="26" spans="4:40" x14ac:dyDescent="0.35">
      <c r="L26" s="69">
        <v>1</v>
      </c>
      <c r="M26" s="44">
        <v>0</v>
      </c>
      <c r="O26" s="20">
        <v>5.773159728050814E-15</v>
      </c>
      <c r="P26" s="21">
        <v>3.5527136788005009E-15</v>
      </c>
      <c r="Q26" s="21">
        <v>0</v>
      </c>
      <c r="R26" s="21">
        <v>-1.0658141036401503E-14</v>
      </c>
      <c r="S26" s="21">
        <v>0.99999999999999289</v>
      </c>
      <c r="T26" s="21">
        <v>-2.4868995751603507E-14</v>
      </c>
      <c r="U26" s="21">
        <v>1.0658141036401503E-14</v>
      </c>
      <c r="V26" s="21">
        <v>-9.7699626167013776E-15</v>
      </c>
      <c r="W26" s="22">
        <v>6.6613381477509392E-15</v>
      </c>
      <c r="Z26" s="68"/>
    </row>
    <row r="27" spans="4:40" x14ac:dyDescent="0.35">
      <c r="L27" s="18">
        <v>2</v>
      </c>
      <c r="M27" s="19">
        <v>0.1</v>
      </c>
      <c r="O27" s="20">
        <v>-2.0677042621789639</v>
      </c>
      <c r="P27" s="21">
        <v>4.8442472525939015</v>
      </c>
      <c r="Q27" s="21">
        <v>-5.8753062954362205</v>
      </c>
      <c r="R27" s="21">
        <v>4.0329031649231268</v>
      </c>
      <c r="S27" s="21">
        <v>-9.83766223857867E-15</v>
      </c>
      <c r="T27" s="21">
        <v>-4.0329031649230966</v>
      </c>
      <c r="U27" s="21">
        <v>5.8753062954361788</v>
      </c>
      <c r="V27" s="21">
        <v>-4.844247252593993</v>
      </c>
      <c r="W27" s="22">
        <v>2.0677042621790811</v>
      </c>
      <c r="Z27" s="70"/>
    </row>
    <row r="28" spans="4:40" x14ac:dyDescent="0.35">
      <c r="L28" s="18">
        <v>3</v>
      </c>
      <c r="M28" s="19">
        <v>0.2</v>
      </c>
      <c r="O28" s="20">
        <v>4.1436959161903557</v>
      </c>
      <c r="P28" s="21">
        <v>-9.8862188828447763</v>
      </c>
      <c r="Q28" s="21">
        <v>14.688265738590616</v>
      </c>
      <c r="R28" s="21">
        <v>-16.131612659692507</v>
      </c>
      <c r="S28" s="21">
        <v>14.371739775512649</v>
      </c>
      <c r="T28" s="21">
        <v>-16.131612659692479</v>
      </c>
      <c r="U28" s="21">
        <v>14.688265738590527</v>
      </c>
      <c r="V28" s="21">
        <v>-9.8862188828449327</v>
      </c>
      <c r="W28" s="22">
        <v>4.1436959161905644</v>
      </c>
    </row>
    <row r="29" spans="4:40" x14ac:dyDescent="0.35">
      <c r="L29" s="18">
        <v>4</v>
      </c>
      <c r="M29" s="19">
        <v>0.3</v>
      </c>
      <c r="O29" s="20">
        <v>8.4231341472202885</v>
      </c>
      <c r="P29" s="21">
        <v>-19.865045619003201</v>
      </c>
      <c r="Q29" s="21">
        <v>25.028081592163044</v>
      </c>
      <c r="R29" s="21">
        <v>-19.922016892066313</v>
      </c>
      <c r="S29" s="21">
        <v>1.2885240581387805E-14</v>
      </c>
      <c r="T29" s="21">
        <v>19.922016892066264</v>
      </c>
      <c r="U29" s="21">
        <v>-25.028081592162941</v>
      </c>
      <c r="V29" s="21">
        <v>19.865045619003627</v>
      </c>
      <c r="W29" s="22">
        <v>-8.4231341472207895</v>
      </c>
    </row>
    <row r="30" spans="4:40" x14ac:dyDescent="0.35">
      <c r="L30" s="18">
        <v>5</v>
      </c>
      <c r="M30" s="19">
        <v>0.4</v>
      </c>
      <c r="O30" s="20">
        <v>-16.880028351143114</v>
      </c>
      <c r="P30" s="21">
        <v>40.540909426537603</v>
      </c>
      <c r="Q30" s="21">
        <v>-62.57020398040806</v>
      </c>
      <c r="R30" s="21">
        <v>79.688067568265538</v>
      </c>
      <c r="S30" s="21">
        <v>-81.55748932650404</v>
      </c>
      <c r="T30" s="21">
        <v>79.688067568265538</v>
      </c>
      <c r="U30" s="21">
        <v>-62.570203980407847</v>
      </c>
      <c r="V30" s="21">
        <v>40.540909426538342</v>
      </c>
      <c r="W30" s="22">
        <v>-16.880028351144006</v>
      </c>
    </row>
    <row r="31" spans="4:40" x14ac:dyDescent="0.35">
      <c r="L31" s="18">
        <v>6</v>
      </c>
      <c r="M31" s="19">
        <v>0.5</v>
      </c>
      <c r="O31" s="20">
        <v>7.0365897550530816</v>
      </c>
      <c r="P31" s="21">
        <v>-17.649854148746094</v>
      </c>
      <c r="Q31" s="21">
        <v>22.59250578237971</v>
      </c>
      <c r="R31" s="21">
        <v>-15.599328271351178</v>
      </c>
      <c r="S31" s="21">
        <v>2.5469983763554034E-14</v>
      </c>
      <c r="T31" s="21">
        <v>15.599328271351089</v>
      </c>
      <c r="U31" s="21">
        <v>-22.592505782379586</v>
      </c>
      <c r="V31" s="21">
        <v>17.649854148746446</v>
      </c>
      <c r="W31" s="22">
        <v>-7.036589755053515</v>
      </c>
    </row>
    <row r="32" spans="4:40" x14ac:dyDescent="0.35">
      <c r="D32" s="1"/>
      <c r="L32" s="18">
        <v>7</v>
      </c>
      <c r="M32" s="19">
        <v>0.6</v>
      </c>
      <c r="O32" s="20">
        <v>-20.309342303675372</v>
      </c>
      <c r="P32" s="21">
        <v>54.797344641131779</v>
      </c>
      <c r="Q32" s="21">
        <v>-86.631166877178089</v>
      </c>
      <c r="R32" s="21">
        <v>71.744518745002722</v>
      </c>
      <c r="S32" s="21">
        <v>1.4337434988243628E-13</v>
      </c>
      <c r="T32" s="21">
        <v>-71.744518745002992</v>
      </c>
      <c r="U32" s="21">
        <v>86.631166877178302</v>
      </c>
      <c r="V32" s="21">
        <v>-54.797344641133328</v>
      </c>
      <c r="W32" s="22">
        <v>20.309342303676889</v>
      </c>
    </row>
    <row r="33" spans="12:40" x14ac:dyDescent="0.35">
      <c r="L33" s="18">
        <v>8</v>
      </c>
      <c r="M33" s="19">
        <v>0.70000000000000007</v>
      </c>
      <c r="O33" s="20">
        <v>-14.10138227465565</v>
      </c>
      <c r="P33" s="21">
        <v>36.020110507645384</v>
      </c>
      <c r="Q33" s="21">
        <v>-56.481264455949521</v>
      </c>
      <c r="R33" s="21">
        <v>62.397313085404754</v>
      </c>
      <c r="S33" s="21">
        <v>-55.669553724890008</v>
      </c>
      <c r="T33" s="21">
        <v>62.397313085404697</v>
      </c>
      <c r="U33" s="21">
        <v>-56.481264455949272</v>
      </c>
      <c r="V33" s="21">
        <v>36.02011050764601</v>
      </c>
      <c r="W33" s="22">
        <v>-14.101382274656432</v>
      </c>
    </row>
    <row r="34" spans="12:40" x14ac:dyDescent="0.35">
      <c r="L34" s="18">
        <v>9</v>
      </c>
      <c r="M34" s="19">
        <v>0.8</v>
      </c>
      <c r="O34" s="25">
        <v>40.700084776905364</v>
      </c>
      <c r="P34" s="26">
        <v>-111.83131559414801</v>
      </c>
      <c r="Q34" s="26">
        <v>216.57791719294684</v>
      </c>
      <c r="R34" s="26">
        <v>-286.97807498001237</v>
      </c>
      <c r="S34" s="26">
        <v>283.06277720861681</v>
      </c>
      <c r="T34" s="26">
        <v>-286.9780749800131</v>
      </c>
      <c r="U34" s="26">
        <v>216.57791719294738</v>
      </c>
      <c r="V34" s="26">
        <v>-111.83131559415089</v>
      </c>
      <c r="W34" s="27">
        <v>40.700084776908128</v>
      </c>
    </row>
    <row r="35" spans="12:40" x14ac:dyDescent="0.35">
      <c r="L35" s="18">
        <v>10</v>
      </c>
      <c r="M35" s="19">
        <v>0.9</v>
      </c>
    </row>
    <row r="36" spans="12:40" x14ac:dyDescent="0.35">
      <c r="L36" s="18">
        <v>11</v>
      </c>
      <c r="M36" s="19">
        <v>1</v>
      </c>
    </row>
    <row r="37" spans="12:40" x14ac:dyDescent="0.35">
      <c r="L37" s="29">
        <v>12</v>
      </c>
      <c r="M37" s="30">
        <v>1.01</v>
      </c>
    </row>
    <row r="39" spans="12:40" x14ac:dyDescent="0.35">
      <c r="L39" s="5" t="s">
        <v>17</v>
      </c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31" t="s">
        <v>18</v>
      </c>
    </row>
    <row r="40" spans="12:40" x14ac:dyDescent="0.35">
      <c r="L40" s="32" t="s">
        <v>19</v>
      </c>
      <c r="M40" s="33" t="s">
        <v>20</v>
      </c>
      <c r="N40" s="2" t="s">
        <v>6</v>
      </c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3"/>
    </row>
    <row r="41" spans="12:40" x14ac:dyDescent="0.35">
      <c r="L41" s="34"/>
      <c r="M41" s="35"/>
      <c r="N41" s="36">
        <v>1</v>
      </c>
      <c r="O41" s="36">
        <f>N41+1</f>
        <v>2</v>
      </c>
      <c r="P41" s="37">
        <f t="shared" ref="P41:AN41" si="0">O41+1</f>
        <v>3</v>
      </c>
      <c r="Q41" s="37">
        <f t="shared" si="0"/>
        <v>4</v>
      </c>
      <c r="R41" s="37">
        <f t="shared" si="0"/>
        <v>5</v>
      </c>
      <c r="S41" s="38">
        <f t="shared" si="0"/>
        <v>6</v>
      </c>
      <c r="T41" s="36">
        <f t="shared" si="0"/>
        <v>7</v>
      </c>
      <c r="U41" s="37">
        <f t="shared" si="0"/>
        <v>8</v>
      </c>
      <c r="V41" s="37">
        <f t="shared" si="0"/>
        <v>9</v>
      </c>
      <c r="W41" s="37">
        <f t="shared" si="0"/>
        <v>10</v>
      </c>
      <c r="X41" s="38">
        <f t="shared" si="0"/>
        <v>11</v>
      </c>
      <c r="Y41" s="36">
        <f t="shared" si="0"/>
        <v>12</v>
      </c>
      <c r="Z41" s="37">
        <f t="shared" si="0"/>
        <v>13</v>
      </c>
      <c r="AA41" s="37">
        <f t="shared" si="0"/>
        <v>14</v>
      </c>
      <c r="AB41" s="37">
        <f t="shared" si="0"/>
        <v>15</v>
      </c>
      <c r="AC41" s="38">
        <f t="shared" si="0"/>
        <v>16</v>
      </c>
      <c r="AD41" s="36">
        <f t="shared" si="0"/>
        <v>17</v>
      </c>
      <c r="AE41" s="37">
        <f t="shared" si="0"/>
        <v>18</v>
      </c>
      <c r="AF41" s="37">
        <f t="shared" si="0"/>
        <v>19</v>
      </c>
      <c r="AG41" s="37">
        <f t="shared" si="0"/>
        <v>20</v>
      </c>
      <c r="AH41" s="38">
        <f t="shared" si="0"/>
        <v>21</v>
      </c>
      <c r="AI41" s="36">
        <f t="shared" si="0"/>
        <v>22</v>
      </c>
      <c r="AJ41" s="37">
        <f t="shared" si="0"/>
        <v>23</v>
      </c>
      <c r="AK41" s="37">
        <f t="shared" si="0"/>
        <v>24</v>
      </c>
      <c r="AL41" s="37">
        <f t="shared" si="0"/>
        <v>25</v>
      </c>
      <c r="AM41" s="37">
        <f t="shared" si="0"/>
        <v>26</v>
      </c>
      <c r="AN41" s="39">
        <f t="shared" si="0"/>
        <v>27</v>
      </c>
    </row>
    <row r="42" spans="12:40" x14ac:dyDescent="0.35">
      <c r="L42" s="34" t="s">
        <v>26</v>
      </c>
      <c r="M42" s="35" t="s">
        <v>22</v>
      </c>
      <c r="N42" s="8">
        <v>1</v>
      </c>
      <c r="O42" s="8">
        <v>2</v>
      </c>
      <c r="P42" s="9">
        <v>3</v>
      </c>
      <c r="Q42" s="9">
        <v>4</v>
      </c>
      <c r="R42" s="9">
        <v>6</v>
      </c>
      <c r="S42" s="10">
        <v>8</v>
      </c>
      <c r="T42" s="8">
        <v>10</v>
      </c>
      <c r="U42" s="9">
        <v>13</v>
      </c>
      <c r="V42" s="9">
        <v>18</v>
      </c>
      <c r="W42" s="9">
        <v>25</v>
      </c>
      <c r="X42" s="10">
        <v>35</v>
      </c>
      <c r="Y42" s="8">
        <v>50</v>
      </c>
      <c r="Z42" s="9">
        <v>72</v>
      </c>
      <c r="AA42" s="9">
        <v>102</v>
      </c>
      <c r="AB42" s="9">
        <v>144</v>
      </c>
      <c r="AC42" s="10">
        <v>200</v>
      </c>
      <c r="AD42" s="8">
        <v>270</v>
      </c>
      <c r="AE42" s="9">
        <v>350</v>
      </c>
      <c r="AF42" s="9">
        <v>430</v>
      </c>
      <c r="AG42" s="9">
        <v>510</v>
      </c>
      <c r="AH42" s="10">
        <v>590</v>
      </c>
      <c r="AI42" s="8">
        <v>670</v>
      </c>
      <c r="AJ42" s="9">
        <v>750</v>
      </c>
      <c r="AK42" s="9">
        <v>830</v>
      </c>
      <c r="AL42" s="9">
        <v>915</v>
      </c>
      <c r="AM42" s="9">
        <v>1000</v>
      </c>
      <c r="AN42" s="40">
        <v>1001</v>
      </c>
    </row>
    <row r="43" spans="12:40" x14ac:dyDescent="0.35">
      <c r="L43" s="41"/>
      <c r="M43" s="42">
        <v>1E-3</v>
      </c>
      <c r="N43" s="41">
        <v>5.1522824452130572E-4</v>
      </c>
      <c r="O43" s="41">
        <v>1.1050986160524797E-2</v>
      </c>
      <c r="P43" s="43">
        <v>3.0654991532660363E-2</v>
      </c>
      <c r="Q43" s="43">
        <v>5.1537000565385002E-2</v>
      </c>
      <c r="R43" s="43">
        <v>8.4311237462266139E-2</v>
      </c>
      <c r="S43" s="44">
        <v>0.11035122005483619</v>
      </c>
      <c r="T43" s="41">
        <v>0.12925508726359397</v>
      </c>
      <c r="U43" s="43">
        <v>0.15058036303913316</v>
      </c>
      <c r="V43" s="43">
        <v>0.17545182540444482</v>
      </c>
      <c r="W43" s="43">
        <v>0.19683310177289176</v>
      </c>
      <c r="X43" s="44">
        <v>0.21646438381405833</v>
      </c>
      <c r="Y43" s="43">
        <v>0.23497337590779871</v>
      </c>
      <c r="Z43" s="43">
        <v>0.2505155735122398</v>
      </c>
      <c r="AA43" s="43">
        <v>0.26326444687227324</v>
      </c>
      <c r="AB43" s="43">
        <v>0.2742531489662457</v>
      </c>
      <c r="AC43" s="43">
        <v>0.28321351594879041</v>
      </c>
      <c r="AD43" s="41">
        <v>0.28977876411255271</v>
      </c>
      <c r="AE43" s="43">
        <v>0.29505738393751008</v>
      </c>
      <c r="AF43" s="43">
        <v>0.29878851807988921</v>
      </c>
      <c r="AG43" s="43">
        <v>0.30164287416786179</v>
      </c>
      <c r="AH43" s="44">
        <v>0.30376568899750422</v>
      </c>
      <c r="AI43" s="43">
        <v>0.30548847094643661</v>
      </c>
      <c r="AJ43" s="43">
        <v>0.30696851354107607</v>
      </c>
      <c r="AK43" s="43">
        <v>0.30829854544258189</v>
      </c>
      <c r="AL43" s="43">
        <v>0.30939473259777445</v>
      </c>
      <c r="AM43" s="44">
        <v>0.31044077572546447</v>
      </c>
      <c r="AN43" s="45">
        <v>0.31044077572546447</v>
      </c>
    </row>
    <row r="44" spans="12:40" x14ac:dyDescent="0.35">
      <c r="L44" s="46"/>
      <c r="M44" s="47">
        <v>0.01</v>
      </c>
      <c r="N44" s="46">
        <v>4.9830235348709666E-3</v>
      </c>
      <c r="O44" s="46">
        <v>3.6209562121252349E-2</v>
      </c>
      <c r="P44" s="48">
        <v>6.858553715087036E-2</v>
      </c>
      <c r="Q44" s="48">
        <v>9.5028745093988565E-2</v>
      </c>
      <c r="R44" s="48">
        <v>0.13140972001871426</v>
      </c>
      <c r="S44" s="19">
        <v>0.15512272630476273</v>
      </c>
      <c r="T44" s="46">
        <v>0.1720242041557675</v>
      </c>
      <c r="U44" s="48">
        <v>0.19066091367560731</v>
      </c>
      <c r="V44" s="48">
        <v>0.2105481306483154</v>
      </c>
      <c r="W44" s="48">
        <v>0.22833619138365976</v>
      </c>
      <c r="X44" s="19">
        <v>0.24384008234983562</v>
      </c>
      <c r="Y44" s="48">
        <v>0.25801653603973412</v>
      </c>
      <c r="Z44" s="48">
        <v>0.27018462466345489</v>
      </c>
      <c r="AA44" s="48">
        <v>0.27999953195110205</v>
      </c>
      <c r="AB44" s="48">
        <v>0.28837087635045278</v>
      </c>
      <c r="AC44" s="48">
        <v>0.2950819933996055</v>
      </c>
      <c r="AD44" s="46">
        <v>0.30037499318639355</v>
      </c>
      <c r="AE44" s="48">
        <v>0.30431459459196702</v>
      </c>
      <c r="AF44" s="48">
        <v>0.3071068907514295</v>
      </c>
      <c r="AG44" s="48">
        <v>0.30922313036562044</v>
      </c>
      <c r="AH44" s="19">
        <v>0.31090078614341254</v>
      </c>
      <c r="AI44" s="48">
        <v>0.31229996435923252</v>
      </c>
      <c r="AJ44" s="48">
        <v>0.31344016295593541</v>
      </c>
      <c r="AK44" s="48">
        <v>0.31444846425596612</v>
      </c>
      <c r="AL44" s="48">
        <v>0.31529660975613505</v>
      </c>
      <c r="AM44" s="19">
        <v>0.31608255421280496</v>
      </c>
      <c r="AN44" s="49">
        <v>0.31608255421280496</v>
      </c>
    </row>
    <row r="45" spans="12:40" x14ac:dyDescent="0.35">
      <c r="L45" s="46"/>
      <c r="M45" s="47">
        <v>9.9999999999999992E-2</v>
      </c>
      <c r="N45" s="46">
        <v>5.132742872145718E-2</v>
      </c>
      <c r="O45" s="46">
        <v>0.12169626442845266</v>
      </c>
      <c r="P45" s="48">
        <v>0.16043635602830914</v>
      </c>
      <c r="Q45" s="48">
        <v>0.18405305345560094</v>
      </c>
      <c r="R45" s="48">
        <v>0.21166329949530521</v>
      </c>
      <c r="S45" s="19">
        <v>0.22788549115015402</v>
      </c>
      <c r="T45" s="46">
        <v>0.23900360998424697</v>
      </c>
      <c r="U45" s="48">
        <v>0.25043726360268559</v>
      </c>
      <c r="V45" s="48">
        <v>0.26279461450285568</v>
      </c>
      <c r="W45" s="48">
        <v>0.27340730933326096</v>
      </c>
      <c r="X45" s="19">
        <v>0.28269576475988262</v>
      </c>
      <c r="Y45" s="48">
        <v>0.29094747671364074</v>
      </c>
      <c r="Z45" s="48">
        <v>0.29795699045961915</v>
      </c>
      <c r="AA45" s="48">
        <v>0.30354471147260237</v>
      </c>
      <c r="AB45" s="48">
        <v>0.30825473659878622</v>
      </c>
      <c r="AC45" s="48">
        <v>0.31201926322434598</v>
      </c>
      <c r="AD45" s="46">
        <v>0.31498827553228276</v>
      </c>
      <c r="AE45" s="48">
        <v>0.31720362375341327</v>
      </c>
      <c r="AF45" s="48">
        <v>0.31879729854454758</v>
      </c>
      <c r="AG45" s="48">
        <v>0.31996459082018452</v>
      </c>
      <c r="AH45" s="19">
        <v>0.32090803499596632</v>
      </c>
      <c r="AI45" s="48">
        <v>0.32166996683039961</v>
      </c>
      <c r="AJ45" s="48">
        <v>0.32232804988948671</v>
      </c>
      <c r="AK45" s="48">
        <v>0.32286022921993712</v>
      </c>
      <c r="AL45" s="48">
        <v>0.32334679528978805</v>
      </c>
      <c r="AM45" s="19">
        <v>0.32379512000059135</v>
      </c>
      <c r="AN45" s="49">
        <v>0.32379512000059135</v>
      </c>
    </row>
    <row r="46" spans="12:40" x14ac:dyDescent="0.35">
      <c r="L46" s="46"/>
      <c r="M46" s="47">
        <v>0.25000000000000006</v>
      </c>
      <c r="N46" s="46">
        <v>0.13350897138309628</v>
      </c>
      <c r="O46" s="46">
        <v>0.20526733560346436</v>
      </c>
      <c r="P46" s="48">
        <v>0.23343536060293127</v>
      </c>
      <c r="Q46" s="48">
        <v>0.24851753288969883</v>
      </c>
      <c r="R46" s="48">
        <v>0.26521351311613667</v>
      </c>
      <c r="S46" s="19">
        <v>0.27494280100141227</v>
      </c>
      <c r="T46" s="46">
        <v>0.2814256920038633</v>
      </c>
      <c r="U46" s="48">
        <v>0.28803725241312689</v>
      </c>
      <c r="V46" s="48">
        <v>0.2949745218348826</v>
      </c>
      <c r="W46" s="48">
        <v>0.30100780893941592</v>
      </c>
      <c r="X46" s="19">
        <v>0.30607953679476652</v>
      </c>
      <c r="Y46" s="48">
        <v>0.31062036657774417</v>
      </c>
      <c r="Z46" s="48">
        <v>0.31441931054063238</v>
      </c>
      <c r="AA46" s="48">
        <v>0.31745420527429885</v>
      </c>
      <c r="AB46" s="48">
        <v>0.31997001934571723</v>
      </c>
      <c r="AC46" s="48">
        <v>0.3219937895654465</v>
      </c>
      <c r="AD46" s="46">
        <v>0.32357314882104865</v>
      </c>
      <c r="AE46" s="48">
        <v>0.3247685627093565</v>
      </c>
      <c r="AF46" s="48">
        <v>0.32562826105133652</v>
      </c>
      <c r="AG46" s="48">
        <v>0.32625880187383788</v>
      </c>
      <c r="AH46" s="19">
        <v>0.32676710671740483</v>
      </c>
      <c r="AI46" s="48">
        <v>0.32717566884899185</v>
      </c>
      <c r="AJ46" s="48">
        <v>0.32750626439706587</v>
      </c>
      <c r="AK46" s="48">
        <v>0.32779861611186756</v>
      </c>
      <c r="AL46" s="48">
        <v>0.32805402312803383</v>
      </c>
      <c r="AM46" s="19">
        <v>0.32828806607453298</v>
      </c>
      <c r="AN46" s="49">
        <v>0.32828806607453298</v>
      </c>
    </row>
    <row r="47" spans="12:40" x14ac:dyDescent="0.35">
      <c r="L47" s="46">
        <f>M26</f>
        <v>0</v>
      </c>
      <c r="M47" s="47">
        <v>0.50000000000000022</v>
      </c>
      <c r="N47" s="46">
        <v>0.292303562804901</v>
      </c>
      <c r="O47" s="46">
        <v>0.32079511950459505</v>
      </c>
      <c r="P47" s="48">
        <v>0.32524165605094707</v>
      </c>
      <c r="Q47" s="48">
        <v>0.32744425281183598</v>
      </c>
      <c r="R47" s="48">
        <v>0.3295618010359499</v>
      </c>
      <c r="S47" s="19">
        <v>0.33054938024804642</v>
      </c>
      <c r="T47" s="46">
        <v>0.33110039224516241</v>
      </c>
      <c r="U47" s="48">
        <v>0.33166040988000517</v>
      </c>
      <c r="V47" s="48">
        <v>0.33220634749443451</v>
      </c>
      <c r="W47" s="48">
        <v>0.33250459146613365</v>
      </c>
      <c r="X47" s="19">
        <v>0.33274770938213971</v>
      </c>
      <c r="Y47" s="48">
        <v>0.33288038774119527</v>
      </c>
      <c r="Z47" s="48">
        <v>0.33298660643941075</v>
      </c>
      <c r="AA47" s="48">
        <v>0.33310665226505815</v>
      </c>
      <c r="AB47" s="48">
        <v>0.33314548561912583</v>
      </c>
      <c r="AC47" s="48">
        <v>0.33320441473507389</v>
      </c>
      <c r="AD47" s="46">
        <v>0.33322104401759617</v>
      </c>
      <c r="AE47" s="48">
        <v>0.33323447564217235</v>
      </c>
      <c r="AF47" s="48">
        <v>0.33326369744411904</v>
      </c>
      <c r="AG47" s="48">
        <v>0.33327708279349466</v>
      </c>
      <c r="AH47" s="19">
        <v>0.33328837978520021</v>
      </c>
      <c r="AI47" s="48">
        <v>0.33329381024881821</v>
      </c>
      <c r="AJ47" s="48">
        <v>0.33329640823600443</v>
      </c>
      <c r="AK47" s="48">
        <v>0.33328891362389085</v>
      </c>
      <c r="AL47" s="48">
        <v>0.33329585843539056</v>
      </c>
      <c r="AM47" s="19">
        <v>0.3332934599937164</v>
      </c>
      <c r="AN47" s="49">
        <v>0.3332934599937164</v>
      </c>
    </row>
    <row r="48" spans="12:40" x14ac:dyDescent="0.35">
      <c r="L48" s="46"/>
      <c r="M48" s="47">
        <v>0.75000000000000044</v>
      </c>
      <c r="N48" s="46">
        <v>0.49940242736855078</v>
      </c>
      <c r="O48" s="46">
        <v>0.445670717311547</v>
      </c>
      <c r="P48" s="48">
        <v>0.42396534726691876</v>
      </c>
      <c r="Q48" s="48">
        <v>0.41160782632808046</v>
      </c>
      <c r="R48" s="48">
        <v>0.39730187334549549</v>
      </c>
      <c r="S48" s="19">
        <v>0.38861323380370105</v>
      </c>
      <c r="T48" s="46">
        <v>0.38294188260220935</v>
      </c>
      <c r="U48" s="48">
        <v>0.37692211156611494</v>
      </c>
      <c r="V48" s="48">
        <v>0.37035589635408966</v>
      </c>
      <c r="W48" s="48">
        <v>0.36481216818415108</v>
      </c>
      <c r="X48" s="19">
        <v>0.35992104773689165</v>
      </c>
      <c r="Y48" s="48">
        <v>0.35565667171719534</v>
      </c>
      <c r="Z48" s="48">
        <v>0.35190904626728509</v>
      </c>
      <c r="AA48" s="48">
        <v>0.34889640553997175</v>
      </c>
      <c r="AB48" s="48">
        <v>0.34646987988217831</v>
      </c>
      <c r="AC48" s="48">
        <v>0.3444836615930329</v>
      </c>
      <c r="AD48" s="46">
        <v>0.34293725318469653</v>
      </c>
      <c r="AE48" s="48">
        <v>0.34177986935872995</v>
      </c>
      <c r="AF48" s="48">
        <v>0.34095312450889059</v>
      </c>
      <c r="AG48" s="48">
        <v>0.3403177445175089</v>
      </c>
      <c r="AH48" s="19">
        <v>0.33983681452710945</v>
      </c>
      <c r="AI48" s="48">
        <v>0.33943549631343312</v>
      </c>
      <c r="AJ48" s="48">
        <v>0.33909781966069269</v>
      </c>
      <c r="AK48" s="48">
        <v>0.33881302768051458</v>
      </c>
      <c r="AL48" s="48">
        <v>0.33855190676125668</v>
      </c>
      <c r="AM48" s="19">
        <v>0.33833364822855211</v>
      </c>
      <c r="AN48" s="49">
        <v>0.33833364822855211</v>
      </c>
    </row>
    <row r="49" spans="12:40" x14ac:dyDescent="0.35">
      <c r="L49" s="46"/>
      <c r="M49" s="47">
        <v>0.90000000000000058</v>
      </c>
      <c r="N49" s="46">
        <v>0.68410562994546387</v>
      </c>
      <c r="O49" s="46">
        <v>0.55959958049175229</v>
      </c>
      <c r="P49" s="48">
        <v>0.51603817286398601</v>
      </c>
      <c r="Q49" s="48">
        <v>0.49002949941455293</v>
      </c>
      <c r="R49" s="48">
        <v>0.46021787365772199</v>
      </c>
      <c r="S49" s="19">
        <v>0.44255161356405426</v>
      </c>
      <c r="T49" s="46">
        <v>0.43085976626013844</v>
      </c>
      <c r="U49" s="48">
        <v>0.41848084384037515</v>
      </c>
      <c r="V49" s="48">
        <v>0.4055670407036957</v>
      </c>
      <c r="W49" s="48">
        <v>0.39457636346828112</v>
      </c>
      <c r="X49" s="19">
        <v>0.38487397433837639</v>
      </c>
      <c r="Y49" s="48">
        <v>0.37646512748540889</v>
      </c>
      <c r="Z49" s="48">
        <v>0.36910735384323312</v>
      </c>
      <c r="AA49" s="48">
        <v>0.36332023104612376</v>
      </c>
      <c r="AB49" s="48">
        <v>0.35854522012979162</v>
      </c>
      <c r="AC49" s="48">
        <v>0.35469200897437597</v>
      </c>
      <c r="AD49" s="46">
        <v>0.35172611077960964</v>
      </c>
      <c r="AE49" s="48">
        <v>0.34947090661771207</v>
      </c>
      <c r="AF49" s="48">
        <v>0.3479016382313328</v>
      </c>
      <c r="AG49" s="48">
        <v>0.34671002986053057</v>
      </c>
      <c r="AH49" s="19">
        <v>0.34577929901117777</v>
      </c>
      <c r="AI49" s="48">
        <v>0.34501840735826761</v>
      </c>
      <c r="AJ49" s="48">
        <v>0.34436862979741617</v>
      </c>
      <c r="AK49" s="48">
        <v>0.34383316015914972</v>
      </c>
      <c r="AL49" s="48">
        <v>0.34333200701663624</v>
      </c>
      <c r="AM49" s="19">
        <v>0.34289851576025709</v>
      </c>
      <c r="AN49" s="49">
        <v>0.34289851576025709</v>
      </c>
    </row>
    <row r="50" spans="12:40" x14ac:dyDescent="0.35">
      <c r="L50" s="46"/>
      <c r="M50" s="47">
        <v>0.99000000000000066</v>
      </c>
      <c r="N50" s="46">
        <v>0.89996611258868031</v>
      </c>
      <c r="O50" s="46">
        <v>0.75237690462048901</v>
      </c>
      <c r="P50" s="48">
        <v>0.67190342306388995</v>
      </c>
      <c r="Q50" s="48">
        <v>0.62516597452886136</v>
      </c>
      <c r="R50" s="48">
        <v>0.57021720110446261</v>
      </c>
      <c r="S50" s="19">
        <v>0.53673890602822383</v>
      </c>
      <c r="T50" s="46">
        <v>0.51473783167237142</v>
      </c>
      <c r="U50" s="48">
        <v>0.49230162056502597</v>
      </c>
      <c r="V50" s="48">
        <v>0.4671158546053642</v>
      </c>
      <c r="W50" s="48">
        <v>0.44638480691455124</v>
      </c>
      <c r="X50" s="19">
        <v>0.42848759385845747</v>
      </c>
      <c r="Y50" s="48">
        <v>0.41278301253484651</v>
      </c>
      <c r="Z50" s="48">
        <v>0.39927358443438737</v>
      </c>
      <c r="AA50" s="48">
        <v>0.38838039694967685</v>
      </c>
      <c r="AB50" s="48">
        <v>0.37957459894151024</v>
      </c>
      <c r="AC50" s="48">
        <v>0.37246203026855512</v>
      </c>
      <c r="AD50" s="46">
        <v>0.36697975219582596</v>
      </c>
      <c r="AE50" s="48">
        <v>0.36292020196394953</v>
      </c>
      <c r="AF50" s="48">
        <v>0.3600395398213202</v>
      </c>
      <c r="AG50" s="48">
        <v>0.35783164569742398</v>
      </c>
      <c r="AH50" s="19">
        <v>0.35611265658988367</v>
      </c>
      <c r="AI50" s="48">
        <v>0.35469915900576821</v>
      </c>
      <c r="AJ50" s="48">
        <v>0.35352025389328517</v>
      </c>
      <c r="AK50" s="48">
        <v>0.35254896427894006</v>
      </c>
      <c r="AL50" s="48">
        <v>0.35161594399940627</v>
      </c>
      <c r="AM50" s="19">
        <v>0.35080319733888377</v>
      </c>
      <c r="AN50" s="49">
        <v>0.35080319733888377</v>
      </c>
    </row>
    <row r="51" spans="12:40" x14ac:dyDescent="0.35">
      <c r="L51" s="50"/>
      <c r="M51" s="51">
        <v>0.999</v>
      </c>
      <c r="N51" s="50">
        <v>0.96852607932739265</v>
      </c>
      <c r="O51" s="50">
        <v>0.8583742939795822</v>
      </c>
      <c r="P51" s="52">
        <v>0.77677894374854117</v>
      </c>
      <c r="Q51" s="52">
        <v>0.71864961031004837</v>
      </c>
      <c r="R51" s="52">
        <v>0.64830233530719583</v>
      </c>
      <c r="S51" s="30">
        <v>0.60549883187846765</v>
      </c>
      <c r="T51" s="50">
        <v>0.57579324637672025</v>
      </c>
      <c r="U51" s="52">
        <v>0.54588789535319404</v>
      </c>
      <c r="V51" s="52">
        <v>0.51262727057997526</v>
      </c>
      <c r="W51" s="52">
        <v>0.48513480802433956</v>
      </c>
      <c r="X51" s="30">
        <v>0.46046889510836908</v>
      </c>
      <c r="Y51" s="52">
        <v>0.43927911823919652</v>
      </c>
      <c r="Z51" s="52">
        <v>0.42138563381655075</v>
      </c>
      <c r="AA51" s="52">
        <v>0.40680831311651239</v>
      </c>
      <c r="AB51" s="52">
        <v>0.39506419916620106</v>
      </c>
      <c r="AC51" s="52">
        <v>0.3855696927262543</v>
      </c>
      <c r="AD51" s="50">
        <v>0.37840408489415189</v>
      </c>
      <c r="AE51" s="52">
        <v>0.37278559432249825</v>
      </c>
      <c r="AF51" s="52">
        <v>0.36894386312035599</v>
      </c>
      <c r="AG51" s="52">
        <v>0.36598572718345102</v>
      </c>
      <c r="AH51" s="30">
        <v>0.36370666224271736</v>
      </c>
      <c r="AI51" s="52">
        <v>0.36174533706461343</v>
      </c>
      <c r="AJ51" s="52">
        <v>0.36022410836612734</v>
      </c>
      <c r="AK51" s="52">
        <v>0.35877412715149382</v>
      </c>
      <c r="AL51" s="52">
        <v>0.35756087714441015</v>
      </c>
      <c r="AM51" s="30">
        <v>0.35644777823761364</v>
      </c>
      <c r="AN51" s="53">
        <v>0.35644777823761364</v>
      </c>
    </row>
    <row r="52" spans="12:40" x14ac:dyDescent="0.35">
      <c r="L52" s="41"/>
      <c r="M52" s="42">
        <v>1E-3</v>
      </c>
      <c r="N52" s="41">
        <v>9.9529276220898574E-3</v>
      </c>
      <c r="O52" s="41">
        <v>4.4785980625394448E-2</v>
      </c>
      <c r="P52" s="43">
        <v>7.171330346644153E-2</v>
      </c>
      <c r="Q52" s="43">
        <v>9.4025338724872065E-2</v>
      </c>
      <c r="R52" s="43">
        <v>0.12823472520976528</v>
      </c>
      <c r="S52" s="44">
        <v>0.15284839990773699</v>
      </c>
      <c r="T52" s="41">
        <v>0.17185378687954089</v>
      </c>
      <c r="U52" s="43">
        <v>0.19166523823796208</v>
      </c>
      <c r="V52" s="43">
        <v>0.21612155804819327</v>
      </c>
      <c r="W52" s="43">
        <v>0.2369387650971542</v>
      </c>
      <c r="X52" s="44">
        <v>0.25571436270042758</v>
      </c>
      <c r="Y52" s="43">
        <v>0.27279550231216548</v>
      </c>
      <c r="Z52" s="43">
        <v>0.28766650847091729</v>
      </c>
      <c r="AA52" s="43">
        <v>0.30001669525622204</v>
      </c>
      <c r="AB52" s="43">
        <v>0.31021677433730699</v>
      </c>
      <c r="AC52" s="43">
        <v>0.31882046017652554</v>
      </c>
      <c r="AD52" s="41">
        <v>0.32524013466086615</v>
      </c>
      <c r="AE52" s="43">
        <v>0.3300237285833742</v>
      </c>
      <c r="AF52" s="43">
        <v>0.33349433850726273</v>
      </c>
      <c r="AG52" s="43">
        <v>0.33629208081703238</v>
      </c>
      <c r="AH52" s="44">
        <v>0.33834830873426619</v>
      </c>
      <c r="AI52" s="43">
        <v>0.33993279499868467</v>
      </c>
      <c r="AJ52" s="43">
        <v>0.34153289329775932</v>
      </c>
      <c r="AK52" s="43">
        <v>0.34287161400956251</v>
      </c>
      <c r="AL52" s="43">
        <v>0.34393186903604028</v>
      </c>
      <c r="AM52" s="44">
        <v>0.34489891355903757</v>
      </c>
      <c r="AN52" s="45">
        <v>0.34489891355903757</v>
      </c>
    </row>
    <row r="53" spans="12:40" x14ac:dyDescent="0.35">
      <c r="L53" s="46"/>
      <c r="M53" s="47">
        <v>0.01</v>
      </c>
      <c r="N53" s="46">
        <v>3.1633492742061516E-2</v>
      </c>
      <c r="O53" s="46">
        <v>7.9128106097294482E-2</v>
      </c>
      <c r="P53" s="48">
        <v>0.11259212637857054</v>
      </c>
      <c r="Q53" s="48">
        <v>0.137786583276474</v>
      </c>
      <c r="R53" s="48">
        <v>0.17279494494660871</v>
      </c>
      <c r="S53" s="19">
        <v>0.19596502114792766</v>
      </c>
      <c r="T53" s="46">
        <v>0.2122567270932072</v>
      </c>
      <c r="U53" s="48">
        <v>0.22963704252364267</v>
      </c>
      <c r="V53" s="48">
        <v>0.24939060476454367</v>
      </c>
      <c r="W53" s="48">
        <v>0.26630176067540356</v>
      </c>
      <c r="X53" s="19">
        <v>0.28109777315334333</v>
      </c>
      <c r="Y53" s="48">
        <v>0.29459032278254155</v>
      </c>
      <c r="Z53" s="48">
        <v>0.30653460079025424</v>
      </c>
      <c r="AA53" s="48">
        <v>0.3159927147973256</v>
      </c>
      <c r="AB53" s="48">
        <v>0.32374811778655277</v>
      </c>
      <c r="AC53" s="48">
        <v>0.33029504882111338</v>
      </c>
      <c r="AD53" s="46">
        <v>0.33518535279585798</v>
      </c>
      <c r="AE53" s="48">
        <v>0.33898408090693488</v>
      </c>
      <c r="AF53" s="48">
        <v>0.34163932151039461</v>
      </c>
      <c r="AG53" s="48">
        <v>0.34369077451056412</v>
      </c>
      <c r="AH53" s="19">
        <v>0.34527494422371635</v>
      </c>
      <c r="AI53" s="48">
        <v>0.34654478306206815</v>
      </c>
      <c r="AJ53" s="48">
        <v>0.34766698628591092</v>
      </c>
      <c r="AK53" s="48">
        <v>0.34862432053392339</v>
      </c>
      <c r="AL53" s="48">
        <v>0.3494686262510095</v>
      </c>
      <c r="AM53" s="19">
        <v>0.3502310065823005</v>
      </c>
      <c r="AN53" s="49">
        <v>0.3502310065823005</v>
      </c>
    </row>
    <row r="54" spans="12:40" x14ac:dyDescent="0.35">
      <c r="L54" s="46"/>
      <c r="M54" s="47">
        <v>9.9999999999999992E-2</v>
      </c>
      <c r="N54" s="46">
        <v>9.9894570939642255E-2</v>
      </c>
      <c r="O54" s="46">
        <v>0.16525878421047646</v>
      </c>
      <c r="P54" s="48">
        <v>0.201778901948441</v>
      </c>
      <c r="Q54" s="48">
        <v>0.22417729260222216</v>
      </c>
      <c r="R54" s="48">
        <v>0.25026440193929278</v>
      </c>
      <c r="S54" s="19">
        <v>0.26586113069159101</v>
      </c>
      <c r="T54" s="46">
        <v>0.27631856782993958</v>
      </c>
      <c r="U54" s="48">
        <v>0.28748358084480763</v>
      </c>
      <c r="V54" s="48">
        <v>0.29934782040605279</v>
      </c>
      <c r="W54" s="48">
        <v>0.30936457856309441</v>
      </c>
      <c r="X54" s="19">
        <v>0.31830254328200452</v>
      </c>
      <c r="Y54" s="48">
        <v>0.32606156555171223</v>
      </c>
      <c r="Z54" s="48">
        <v>0.33295358948334197</v>
      </c>
      <c r="AA54" s="48">
        <v>0.33833876874434088</v>
      </c>
      <c r="AB54" s="48">
        <v>0.34279247327877221</v>
      </c>
      <c r="AC54" s="48">
        <v>0.3464169848459081</v>
      </c>
      <c r="AD54" s="46">
        <v>0.34920896404709623</v>
      </c>
      <c r="AE54" s="48">
        <v>0.35133653938733067</v>
      </c>
      <c r="AF54" s="48">
        <v>0.35281536381381351</v>
      </c>
      <c r="AG54" s="48">
        <v>0.35394630524902698</v>
      </c>
      <c r="AH54" s="19">
        <v>0.35482797617633133</v>
      </c>
      <c r="AI54" s="48">
        <v>0.35555836880419706</v>
      </c>
      <c r="AJ54" s="48">
        <v>0.35616223927414647</v>
      </c>
      <c r="AK54" s="48">
        <v>0.3566606745732524</v>
      </c>
      <c r="AL54" s="48">
        <v>0.35714961985879679</v>
      </c>
      <c r="AM54" s="19">
        <v>0.35755477650481782</v>
      </c>
      <c r="AN54" s="49">
        <v>0.35755477650481782</v>
      </c>
    </row>
    <row r="55" spans="12:40" x14ac:dyDescent="0.35">
      <c r="L55" s="46"/>
      <c r="M55" s="47">
        <v>0.25000000000000006</v>
      </c>
      <c r="N55" s="46">
        <v>0.17874372864101112</v>
      </c>
      <c r="O55" s="46">
        <v>0.24546514049078885</v>
      </c>
      <c r="P55" s="48">
        <v>0.27183798438469087</v>
      </c>
      <c r="Q55" s="48">
        <v>0.28607556385917782</v>
      </c>
      <c r="R55" s="48">
        <v>0.30167634554343431</v>
      </c>
      <c r="S55" s="19">
        <v>0.31097945078919881</v>
      </c>
      <c r="T55" s="46">
        <v>0.31702820036121737</v>
      </c>
      <c r="U55" s="48">
        <v>0.32338902344164838</v>
      </c>
      <c r="V55" s="48">
        <v>0.32995171714443522</v>
      </c>
      <c r="W55" s="48">
        <v>0.33563295256034736</v>
      </c>
      <c r="X55" s="19">
        <v>0.3406416171665857</v>
      </c>
      <c r="Y55" s="48">
        <v>0.34489540616576009</v>
      </c>
      <c r="Z55" s="48">
        <v>0.34860624647521676</v>
      </c>
      <c r="AA55" s="48">
        <v>0.35155889150470143</v>
      </c>
      <c r="AB55" s="48">
        <v>0.35400011059465203</v>
      </c>
      <c r="AC55" s="48">
        <v>0.35593165087103928</v>
      </c>
      <c r="AD55" s="46">
        <v>0.35742234507761927</v>
      </c>
      <c r="AE55" s="48">
        <v>0.35855315313399222</v>
      </c>
      <c r="AF55" s="48">
        <v>0.35934055363662476</v>
      </c>
      <c r="AG55" s="48">
        <v>0.35994083556716555</v>
      </c>
      <c r="AH55" s="19">
        <v>0.36042145377316664</v>
      </c>
      <c r="AI55" s="48">
        <v>0.36079805528063164</v>
      </c>
      <c r="AJ55" s="48">
        <v>0.36112392385129782</v>
      </c>
      <c r="AK55" s="48">
        <v>0.36140095329006228</v>
      </c>
      <c r="AL55" s="48">
        <v>0.36164965921425002</v>
      </c>
      <c r="AM55" s="19">
        <v>0.36187140357829672</v>
      </c>
      <c r="AN55" s="49">
        <v>0.36187140357829672</v>
      </c>
    </row>
    <row r="56" spans="12:40" x14ac:dyDescent="0.35">
      <c r="L56" s="46">
        <f>M27</f>
        <v>0.1</v>
      </c>
      <c r="M56" s="47">
        <v>0.50000000000000022</v>
      </c>
      <c r="N56" s="46">
        <v>0.32973947042945634</v>
      </c>
      <c r="O56" s="46">
        <v>0.35560402870148511</v>
      </c>
      <c r="P56" s="48">
        <v>0.35959842121541435</v>
      </c>
      <c r="Q56" s="48">
        <v>0.36123248135583125</v>
      </c>
      <c r="R56" s="48">
        <v>0.3630869950404369</v>
      </c>
      <c r="S56" s="19">
        <v>0.36394628143346081</v>
      </c>
      <c r="T56" s="46">
        <v>0.3644725913169265</v>
      </c>
      <c r="U56" s="48">
        <v>0.36503427030958541</v>
      </c>
      <c r="V56" s="48">
        <v>0.36544837420913234</v>
      </c>
      <c r="W56" s="48">
        <v>0.36572569544578465</v>
      </c>
      <c r="X56" s="19">
        <v>0.36600280861420148</v>
      </c>
      <c r="Y56" s="48">
        <v>0.36621217576912202</v>
      </c>
      <c r="Z56" s="48">
        <v>0.36636592483964031</v>
      </c>
      <c r="AA56" s="48">
        <v>0.36645758192515721</v>
      </c>
      <c r="AB56" s="48">
        <v>0.36652022150155328</v>
      </c>
      <c r="AC56" s="48">
        <v>0.3665724049714254</v>
      </c>
      <c r="AD56" s="46">
        <v>0.36661369294547541</v>
      </c>
      <c r="AE56" s="48">
        <v>0.36661975511081096</v>
      </c>
      <c r="AF56" s="48">
        <v>0.36662890927953046</v>
      </c>
      <c r="AG56" s="48">
        <v>0.36664504439811701</v>
      </c>
      <c r="AH56" s="19">
        <v>0.36663234462231314</v>
      </c>
      <c r="AI56" s="48">
        <v>0.36664667147406638</v>
      </c>
      <c r="AJ56" s="48">
        <v>0.36663978640684508</v>
      </c>
      <c r="AK56" s="48">
        <v>0.36665095071560172</v>
      </c>
      <c r="AL56" s="48">
        <v>0.36665131951751379</v>
      </c>
      <c r="AM56" s="19">
        <v>0.36665281292483187</v>
      </c>
      <c r="AN56" s="49">
        <v>0.36665281292483187</v>
      </c>
    </row>
    <row r="57" spans="12:40" x14ac:dyDescent="0.35">
      <c r="L57" s="46"/>
      <c r="M57" s="47">
        <v>0.75000000000000044</v>
      </c>
      <c r="N57" s="46">
        <v>0.52642427470173747</v>
      </c>
      <c r="O57" s="46">
        <v>0.47422696613556853</v>
      </c>
      <c r="P57" s="48">
        <v>0.45337915523921979</v>
      </c>
      <c r="Q57" s="48">
        <v>0.44142592437374506</v>
      </c>
      <c r="R57" s="48">
        <v>0.42768779842166721</v>
      </c>
      <c r="S57" s="19">
        <v>0.41957902881646209</v>
      </c>
      <c r="T57" s="46">
        <v>0.41386768975388272</v>
      </c>
      <c r="U57" s="48">
        <v>0.40814073989200927</v>
      </c>
      <c r="V57" s="48">
        <v>0.40197291475059005</v>
      </c>
      <c r="W57" s="48">
        <v>0.39659708885780764</v>
      </c>
      <c r="X57" s="19">
        <v>0.39206516364661059</v>
      </c>
      <c r="Y57" s="48">
        <v>0.38786556252889454</v>
      </c>
      <c r="Z57" s="48">
        <v>0.38435084729055419</v>
      </c>
      <c r="AA57" s="48">
        <v>0.38155151404611998</v>
      </c>
      <c r="AB57" s="48">
        <v>0.37925921059420098</v>
      </c>
      <c r="AC57" s="48">
        <v>0.37734212431475778</v>
      </c>
      <c r="AD57" s="46">
        <v>0.37587175512870635</v>
      </c>
      <c r="AE57" s="48">
        <v>0.3747612924131834</v>
      </c>
      <c r="AF57" s="48">
        <v>0.37395352125812226</v>
      </c>
      <c r="AG57" s="48">
        <v>0.37335650142048538</v>
      </c>
      <c r="AH57" s="19">
        <v>0.37288751508675516</v>
      </c>
      <c r="AI57" s="48">
        <v>0.37250624420255291</v>
      </c>
      <c r="AJ57" s="48">
        <v>0.37219475718659001</v>
      </c>
      <c r="AK57" s="48">
        <v>0.37192531785543931</v>
      </c>
      <c r="AL57" s="48">
        <v>0.3716801273259755</v>
      </c>
      <c r="AM57" s="19">
        <v>0.37145753780606355</v>
      </c>
      <c r="AN57" s="49">
        <v>0.37145753780606355</v>
      </c>
    </row>
    <row r="58" spans="12:40" x14ac:dyDescent="0.35">
      <c r="L58" s="46"/>
      <c r="M58" s="47">
        <v>0.90000000000000058</v>
      </c>
      <c r="N58" s="46">
        <v>0.69996947279798416</v>
      </c>
      <c r="O58" s="46">
        <v>0.5825108284957865</v>
      </c>
      <c r="P58" s="48">
        <v>0.54058056165099433</v>
      </c>
      <c r="Q58" s="48">
        <v>0.51607761179349321</v>
      </c>
      <c r="R58" s="48">
        <v>0.48729603760214452</v>
      </c>
      <c r="S58" s="19">
        <v>0.47091888778817947</v>
      </c>
      <c r="T58" s="46">
        <v>0.459503004605334</v>
      </c>
      <c r="U58" s="48">
        <v>0.44784568429531901</v>
      </c>
      <c r="V58" s="48">
        <v>0.43547869154473867</v>
      </c>
      <c r="W58" s="48">
        <v>0.42498205731950495</v>
      </c>
      <c r="X58" s="19">
        <v>0.41577991864379427</v>
      </c>
      <c r="Y58" s="48">
        <v>0.40765972804589112</v>
      </c>
      <c r="Z58" s="48">
        <v>0.40077586993448677</v>
      </c>
      <c r="AA58" s="48">
        <v>0.39527478939515798</v>
      </c>
      <c r="AB58" s="48">
        <v>0.39078673484794207</v>
      </c>
      <c r="AC58" s="48">
        <v>0.38711166584759832</v>
      </c>
      <c r="AD58" s="46">
        <v>0.38425685993402248</v>
      </c>
      <c r="AE58" s="48">
        <v>0.38211927487171621</v>
      </c>
      <c r="AF58" s="48">
        <v>0.38058727723780222</v>
      </c>
      <c r="AG58" s="48">
        <v>0.37945373837819157</v>
      </c>
      <c r="AH58" s="19">
        <v>0.37854446627281413</v>
      </c>
      <c r="AI58" s="48">
        <v>0.37782252827083285</v>
      </c>
      <c r="AJ58" s="48">
        <v>0.37720378911895613</v>
      </c>
      <c r="AK58" s="48">
        <v>0.37669419392530623</v>
      </c>
      <c r="AL58" s="48">
        <v>0.37621942307253292</v>
      </c>
      <c r="AM58" s="19">
        <v>0.37579948414104553</v>
      </c>
      <c r="AN58" s="49">
        <v>0.37579948414104553</v>
      </c>
    </row>
    <row r="59" spans="12:40" x14ac:dyDescent="0.35">
      <c r="L59" s="46"/>
      <c r="M59" s="47">
        <v>0.99000000000000066</v>
      </c>
      <c r="N59" s="46">
        <v>0.90541091558269315</v>
      </c>
      <c r="O59" s="46">
        <v>0.76548854477159345</v>
      </c>
      <c r="P59" s="48">
        <v>0.68980264846457129</v>
      </c>
      <c r="Q59" s="48">
        <v>0.64375759004460276</v>
      </c>
      <c r="R59" s="48">
        <v>0.59173477901891314</v>
      </c>
      <c r="S59" s="19">
        <v>0.56032608581195764</v>
      </c>
      <c r="T59" s="46">
        <v>0.53968373687514648</v>
      </c>
      <c r="U59" s="48">
        <v>0.51747798592012439</v>
      </c>
      <c r="V59" s="48">
        <v>0.49434237662165487</v>
      </c>
      <c r="W59" s="48">
        <v>0.47452327058147853</v>
      </c>
      <c r="X59" s="19">
        <v>0.45717404023621128</v>
      </c>
      <c r="Y59" s="48">
        <v>0.44218691518591796</v>
      </c>
      <c r="Z59" s="48">
        <v>0.42957324869107438</v>
      </c>
      <c r="AA59" s="48">
        <v>0.41939902973420262</v>
      </c>
      <c r="AB59" s="48">
        <v>0.41081015556724482</v>
      </c>
      <c r="AC59" s="48">
        <v>0.40410069289852352</v>
      </c>
      <c r="AD59" s="46">
        <v>0.39883343295486384</v>
      </c>
      <c r="AE59" s="48">
        <v>0.39485411558777045</v>
      </c>
      <c r="AF59" s="48">
        <v>0.39203206991030698</v>
      </c>
      <c r="AG59" s="48">
        <v>0.39001798322714332</v>
      </c>
      <c r="AH59" s="19">
        <v>0.38833929266660849</v>
      </c>
      <c r="AI59" s="48">
        <v>0.38699797514415951</v>
      </c>
      <c r="AJ59" s="48">
        <v>0.38588356145295044</v>
      </c>
      <c r="AK59" s="48">
        <v>0.38491359485167459</v>
      </c>
      <c r="AL59" s="48">
        <v>0.38405818892409804</v>
      </c>
      <c r="AM59" s="19">
        <v>0.38331092141367168</v>
      </c>
      <c r="AN59" s="49">
        <v>0.38331092141367168</v>
      </c>
    </row>
    <row r="60" spans="12:40" x14ac:dyDescent="0.35">
      <c r="L60" s="50"/>
      <c r="M60" s="51">
        <v>0.999</v>
      </c>
      <c r="N60" s="50">
        <v>0.96955050209620863</v>
      </c>
      <c r="O60" s="50">
        <v>0.86827022661148934</v>
      </c>
      <c r="P60" s="52">
        <v>0.78914125953127567</v>
      </c>
      <c r="Q60" s="52">
        <v>0.73341035476870509</v>
      </c>
      <c r="R60" s="52">
        <v>0.66775977175585843</v>
      </c>
      <c r="S60" s="30">
        <v>0.62730317946509317</v>
      </c>
      <c r="T60" s="50">
        <v>0.59870495314085204</v>
      </c>
      <c r="U60" s="52">
        <v>0.56880049030821678</v>
      </c>
      <c r="V60" s="52">
        <v>0.53814047001842236</v>
      </c>
      <c r="W60" s="52">
        <v>0.51116057538978754</v>
      </c>
      <c r="X60" s="30">
        <v>0.4883869673902051</v>
      </c>
      <c r="Y60" s="52">
        <v>0.4675193997907694</v>
      </c>
      <c r="Z60" s="52">
        <v>0.4505824907774138</v>
      </c>
      <c r="AA60" s="52">
        <v>0.43732517743335608</v>
      </c>
      <c r="AB60" s="52">
        <v>0.42561814540729281</v>
      </c>
      <c r="AC60" s="52">
        <v>0.41628220969444429</v>
      </c>
      <c r="AD60" s="50">
        <v>0.40948719011451479</v>
      </c>
      <c r="AE60" s="52">
        <v>0.4042492671855934</v>
      </c>
      <c r="AF60" s="52">
        <v>0.40044866150611846</v>
      </c>
      <c r="AG60" s="52">
        <v>0.39759753938528619</v>
      </c>
      <c r="AH60" s="30">
        <v>0.39555578848388001</v>
      </c>
      <c r="AI60" s="52">
        <v>0.39367620476850507</v>
      </c>
      <c r="AJ60" s="52">
        <v>0.39228481663639791</v>
      </c>
      <c r="AK60" s="52">
        <v>0.39097125126448218</v>
      </c>
      <c r="AL60" s="52">
        <v>0.38988035627959955</v>
      </c>
      <c r="AM60" s="30">
        <v>0.38886568050774373</v>
      </c>
      <c r="AN60" s="53">
        <v>0.38886568050774373</v>
      </c>
    </row>
    <row r="61" spans="12:40" x14ac:dyDescent="0.35">
      <c r="L61" s="41"/>
      <c r="M61" s="42">
        <v>1E-3</v>
      </c>
      <c r="N61" s="41">
        <v>1.4075565228477277E-2</v>
      </c>
      <c r="O61" s="41">
        <v>6.3336941204611502E-2</v>
      </c>
      <c r="P61" s="43">
        <v>9.9888991128719254E-2</v>
      </c>
      <c r="Q61" s="43">
        <v>0.12722594914597199</v>
      </c>
      <c r="R61" s="43">
        <v>0.16520109616354675</v>
      </c>
      <c r="S61" s="44">
        <v>0.19057348163916168</v>
      </c>
      <c r="T61" s="41">
        <v>0.20974265828019473</v>
      </c>
      <c r="U61" s="43">
        <v>0.22972208852270762</v>
      </c>
      <c r="V61" s="43">
        <v>0.25400566203570535</v>
      </c>
      <c r="W61" s="43">
        <v>0.27442359657772036</v>
      </c>
      <c r="X61" s="44">
        <v>0.29272334880727796</v>
      </c>
      <c r="Y61" s="43">
        <v>0.30952292618465554</v>
      </c>
      <c r="Z61" s="43">
        <v>0.32385012925358525</v>
      </c>
      <c r="AA61" s="43">
        <v>0.33580534761372804</v>
      </c>
      <c r="AB61" s="43">
        <v>0.34559104969104243</v>
      </c>
      <c r="AC61" s="43">
        <v>0.35397863907960903</v>
      </c>
      <c r="AD61" s="41">
        <v>0.36012062921430976</v>
      </c>
      <c r="AE61" s="43">
        <v>0.36477255547810233</v>
      </c>
      <c r="AF61" s="43">
        <v>0.36813980621134723</v>
      </c>
      <c r="AG61" s="43">
        <v>0.37080824465309059</v>
      </c>
      <c r="AH61" s="44">
        <v>0.37273382835465035</v>
      </c>
      <c r="AI61" s="43">
        <v>0.37431226142063201</v>
      </c>
      <c r="AJ61" s="43">
        <v>0.37581476100521299</v>
      </c>
      <c r="AK61" s="43">
        <v>0.377138416065051</v>
      </c>
      <c r="AL61" s="43">
        <v>0.37812909808555717</v>
      </c>
      <c r="AM61" s="44">
        <v>0.37909319446581796</v>
      </c>
      <c r="AN61" s="45">
        <v>0.37909319446581796</v>
      </c>
    </row>
    <row r="62" spans="12:40" x14ac:dyDescent="0.35">
      <c r="L62" s="46"/>
      <c r="M62" s="47">
        <v>0.01</v>
      </c>
      <c r="N62" s="46">
        <v>4.4736514461054269E-2</v>
      </c>
      <c r="O62" s="46">
        <v>0.11074505748006606</v>
      </c>
      <c r="P62" s="48">
        <v>0.14956978226681239</v>
      </c>
      <c r="Q62" s="48">
        <v>0.17594623037246979</v>
      </c>
      <c r="R62" s="48">
        <v>0.21135803971410183</v>
      </c>
      <c r="S62" s="19">
        <v>0.23436984017853316</v>
      </c>
      <c r="T62" s="46">
        <v>0.25026617372478172</v>
      </c>
      <c r="U62" s="48">
        <v>0.2673510569454729</v>
      </c>
      <c r="V62" s="48">
        <v>0.28669542016437111</v>
      </c>
      <c r="W62" s="48">
        <v>0.30313357738484181</v>
      </c>
      <c r="X62" s="19">
        <v>0.31745996556048567</v>
      </c>
      <c r="Y62" s="48">
        <v>0.33060005988017088</v>
      </c>
      <c r="Z62" s="48">
        <v>0.34203399763163694</v>
      </c>
      <c r="AA62" s="48">
        <v>0.35120704609440345</v>
      </c>
      <c r="AB62" s="48">
        <v>0.35871366450955594</v>
      </c>
      <c r="AC62" s="48">
        <v>0.36500652299596292</v>
      </c>
      <c r="AD62" s="46">
        <v>0.36971459524894285</v>
      </c>
      <c r="AE62" s="48">
        <v>0.37337879364275345</v>
      </c>
      <c r="AF62" s="48">
        <v>0.37593648085100134</v>
      </c>
      <c r="AG62" s="48">
        <v>0.37790808872246034</v>
      </c>
      <c r="AH62" s="19">
        <v>0.37943925427047304</v>
      </c>
      <c r="AI62" s="48">
        <v>0.3806619365220395</v>
      </c>
      <c r="AJ62" s="48">
        <v>0.38172341899089818</v>
      </c>
      <c r="AK62" s="48">
        <v>0.38263910872878681</v>
      </c>
      <c r="AL62" s="48">
        <v>0.38346539733129881</v>
      </c>
      <c r="AM62" s="19">
        <v>0.38419075351453835</v>
      </c>
      <c r="AN62" s="49">
        <v>0.38419075351453835</v>
      </c>
    </row>
    <row r="63" spans="12:40" x14ac:dyDescent="0.35">
      <c r="L63" s="46"/>
      <c r="M63" s="47">
        <v>9.9999999999999992E-2</v>
      </c>
      <c r="N63" s="46">
        <v>0.14127225703028334</v>
      </c>
      <c r="O63" s="46">
        <v>0.20680349578490492</v>
      </c>
      <c r="P63" s="48">
        <v>0.2414468989630609</v>
      </c>
      <c r="Q63" s="48">
        <v>0.26295726598944419</v>
      </c>
      <c r="R63" s="48">
        <v>0.28799119940718654</v>
      </c>
      <c r="S63" s="19">
        <v>0.30298836137144064</v>
      </c>
      <c r="T63" s="46">
        <v>0.31309087986714934</v>
      </c>
      <c r="U63" s="48">
        <v>0.32384748408307418</v>
      </c>
      <c r="V63" s="48">
        <v>0.33525172231464179</v>
      </c>
      <c r="W63" s="48">
        <v>0.3448597835128161</v>
      </c>
      <c r="X63" s="19">
        <v>0.35347611197354339</v>
      </c>
      <c r="Y63" s="48">
        <v>0.36096876074450074</v>
      </c>
      <c r="Z63" s="48">
        <v>0.36756746988880501</v>
      </c>
      <c r="AA63" s="48">
        <v>0.37276712672941875</v>
      </c>
      <c r="AB63" s="48">
        <v>0.37704841814902451</v>
      </c>
      <c r="AC63" s="48">
        <v>0.38053417157434771</v>
      </c>
      <c r="AD63" s="46">
        <v>0.38322708654850168</v>
      </c>
      <c r="AE63" s="48">
        <v>0.38526843416053042</v>
      </c>
      <c r="AF63" s="48">
        <v>0.38668873450033886</v>
      </c>
      <c r="AG63" s="48">
        <v>0.38777659270339598</v>
      </c>
      <c r="AH63" s="19">
        <v>0.38862264165693061</v>
      </c>
      <c r="AI63" s="48">
        <v>0.38932481074176239</v>
      </c>
      <c r="AJ63" s="48">
        <v>0.38990996662024413</v>
      </c>
      <c r="AK63" s="48">
        <v>0.39039146884429876</v>
      </c>
      <c r="AL63" s="48">
        <v>0.39085130754343039</v>
      </c>
      <c r="AM63" s="19">
        <v>0.39124455373281591</v>
      </c>
      <c r="AN63" s="49">
        <v>0.39124455373281591</v>
      </c>
    </row>
    <row r="64" spans="12:40" x14ac:dyDescent="0.35">
      <c r="L64" s="46"/>
      <c r="M64" s="47">
        <v>0.25000000000000006</v>
      </c>
      <c r="N64" s="46">
        <v>0.22571216190677276</v>
      </c>
      <c r="O64" s="46">
        <v>0.28520442528262252</v>
      </c>
      <c r="P64" s="48">
        <v>0.30968738782219235</v>
      </c>
      <c r="Q64" s="48">
        <v>0.32304980414186091</v>
      </c>
      <c r="R64" s="48">
        <v>0.33784764699386555</v>
      </c>
      <c r="S64" s="19">
        <v>0.34671142407949135</v>
      </c>
      <c r="T64" s="46">
        <v>0.35249327736099889</v>
      </c>
      <c r="U64" s="48">
        <v>0.35855245030669081</v>
      </c>
      <c r="V64" s="48">
        <v>0.36484731142712834</v>
      </c>
      <c r="W64" s="48">
        <v>0.37024975955759809</v>
      </c>
      <c r="X64" s="19">
        <v>0.37503950740679765</v>
      </c>
      <c r="Y64" s="48">
        <v>0.37911318416104939</v>
      </c>
      <c r="Z64" s="48">
        <v>0.38267369974706</v>
      </c>
      <c r="AA64" s="48">
        <v>0.38550999415924625</v>
      </c>
      <c r="AB64" s="48">
        <v>0.3878435801723138</v>
      </c>
      <c r="AC64" s="48">
        <v>0.38969235977896288</v>
      </c>
      <c r="AD64" s="46">
        <v>0.39112543852032744</v>
      </c>
      <c r="AE64" s="48">
        <v>0.39220548650451992</v>
      </c>
      <c r="AF64" s="48">
        <v>0.39296818986673077</v>
      </c>
      <c r="AG64" s="48">
        <v>0.39354103888076936</v>
      </c>
      <c r="AH64" s="19">
        <v>0.39399863295883547</v>
      </c>
      <c r="AI64" s="48">
        <v>0.39436653146198025</v>
      </c>
      <c r="AJ64" s="48">
        <v>0.39467755950557903</v>
      </c>
      <c r="AK64" s="48">
        <v>0.39494608944566295</v>
      </c>
      <c r="AL64" s="48">
        <v>0.39518125983783153</v>
      </c>
      <c r="AM64" s="19">
        <v>0.39539548435146926</v>
      </c>
      <c r="AN64" s="49">
        <v>0.39539548435146926</v>
      </c>
    </row>
    <row r="65" spans="12:40" x14ac:dyDescent="0.35">
      <c r="L65" s="46">
        <f>M28</f>
        <v>0.2</v>
      </c>
      <c r="M65" s="47">
        <v>0.50000000000000022</v>
      </c>
      <c r="N65" s="46">
        <v>0.36807231250530947</v>
      </c>
      <c r="O65" s="46">
        <v>0.39053235920932061</v>
      </c>
      <c r="P65" s="48">
        <v>0.39402928095918283</v>
      </c>
      <c r="Q65" s="48">
        <v>0.39540747027565909</v>
      </c>
      <c r="R65" s="48">
        <v>0.39697152070678554</v>
      </c>
      <c r="S65" s="19">
        <v>0.39771713104931555</v>
      </c>
      <c r="T65" s="46">
        <v>0.39813465352668026</v>
      </c>
      <c r="U65" s="48">
        <v>0.39862320771338972</v>
      </c>
      <c r="V65" s="48">
        <v>0.39896359932644315</v>
      </c>
      <c r="W65" s="48">
        <v>0.39919626561206545</v>
      </c>
      <c r="X65" s="19">
        <v>0.39944985271701655</v>
      </c>
      <c r="Y65" s="48">
        <v>0.39961438409753075</v>
      </c>
      <c r="Z65" s="48">
        <v>0.39975758229567881</v>
      </c>
      <c r="AA65" s="48">
        <v>0.39982613710045478</v>
      </c>
      <c r="AB65" s="48">
        <v>0.39987187419747855</v>
      </c>
      <c r="AC65" s="48">
        <v>0.39992055668270071</v>
      </c>
      <c r="AD65" s="46">
        <v>0.39996190317409663</v>
      </c>
      <c r="AE65" s="48">
        <v>0.39996327995290659</v>
      </c>
      <c r="AF65" s="48">
        <v>0.39996855782692481</v>
      </c>
      <c r="AG65" s="48">
        <v>0.39998238972298467</v>
      </c>
      <c r="AH65" s="19">
        <v>0.39997450618487274</v>
      </c>
      <c r="AI65" s="48">
        <v>0.39998683724825412</v>
      </c>
      <c r="AJ65" s="48">
        <v>0.39997621866525435</v>
      </c>
      <c r="AK65" s="48">
        <v>0.39998971590078614</v>
      </c>
      <c r="AL65" s="48">
        <v>0.39998855534438593</v>
      </c>
      <c r="AM65" s="19">
        <v>0.39999060378376849</v>
      </c>
      <c r="AN65" s="49">
        <v>0.39999060378376849</v>
      </c>
    </row>
    <row r="66" spans="12:40" x14ac:dyDescent="0.35">
      <c r="L66" s="46"/>
      <c r="M66" s="47">
        <v>0.75000000000000044</v>
      </c>
      <c r="N66" s="46">
        <v>0.55350852431501463</v>
      </c>
      <c r="O66" s="46">
        <v>0.50353283426316009</v>
      </c>
      <c r="P66" s="48">
        <v>0.48361431646418179</v>
      </c>
      <c r="Q66" s="48">
        <v>0.47202023751261968</v>
      </c>
      <c r="R66" s="48">
        <v>0.45876964768776696</v>
      </c>
      <c r="S66" s="19">
        <v>0.45098089968367455</v>
      </c>
      <c r="T66" s="46">
        <v>0.44544678299176299</v>
      </c>
      <c r="U66" s="48">
        <v>0.43990500010477107</v>
      </c>
      <c r="V66" s="48">
        <v>0.43398118853190332</v>
      </c>
      <c r="W66" s="48">
        <v>0.42880363389154919</v>
      </c>
      <c r="X66" s="19">
        <v>0.42443655164857402</v>
      </c>
      <c r="Y66" s="48">
        <v>0.4204052221470389</v>
      </c>
      <c r="Z66" s="48">
        <v>0.41700635893589427</v>
      </c>
      <c r="AA66" s="48">
        <v>0.41431190730902628</v>
      </c>
      <c r="AB66" s="48">
        <v>0.41211081039902658</v>
      </c>
      <c r="AC66" s="48">
        <v>0.41027009752195243</v>
      </c>
      <c r="AD66" s="46">
        <v>0.4088495461269443</v>
      </c>
      <c r="AE66" s="48">
        <v>0.40778198465912296</v>
      </c>
      <c r="AF66" s="48">
        <v>0.40700747270676557</v>
      </c>
      <c r="AG66" s="48">
        <v>0.40642895362071174</v>
      </c>
      <c r="AH66" s="19">
        <v>0.40597852511159993</v>
      </c>
      <c r="AI66" s="48">
        <v>0.40561232453083607</v>
      </c>
      <c r="AJ66" s="48">
        <v>0.40531181276603639</v>
      </c>
      <c r="AK66" s="48">
        <v>0.40505264483159992</v>
      </c>
      <c r="AL66" s="48">
        <v>0.40481494329556034</v>
      </c>
      <c r="AM66" s="19">
        <v>0.40460544114626062</v>
      </c>
      <c r="AN66" s="49">
        <v>0.40460544114626062</v>
      </c>
    </row>
    <row r="67" spans="12:40" x14ac:dyDescent="0.35">
      <c r="L67" s="46"/>
      <c r="M67" s="47">
        <v>0.90000000000000058</v>
      </c>
      <c r="N67" s="46">
        <v>0.71712850620330626</v>
      </c>
      <c r="O67" s="46">
        <v>0.60638743434322284</v>
      </c>
      <c r="P67" s="48">
        <v>0.56637090148310787</v>
      </c>
      <c r="Q67" s="48">
        <v>0.54307881234235189</v>
      </c>
      <c r="R67" s="48">
        <v>0.51559493134543655</v>
      </c>
      <c r="S67" s="19">
        <v>0.49993308288184746</v>
      </c>
      <c r="T67" s="46">
        <v>0.48898727615656606</v>
      </c>
      <c r="U67" s="48">
        <v>0.47784905026394248</v>
      </c>
      <c r="V67" s="48">
        <v>0.46604105143250596</v>
      </c>
      <c r="W67" s="48">
        <v>0.45594103768428823</v>
      </c>
      <c r="X67" s="19">
        <v>0.44712142287363349</v>
      </c>
      <c r="Y67" s="48">
        <v>0.43936143136415323</v>
      </c>
      <c r="Z67" s="48">
        <v>0.43275775000787986</v>
      </c>
      <c r="AA67" s="48">
        <v>0.4274644520507373</v>
      </c>
      <c r="AB67" s="48">
        <v>0.42317753617194603</v>
      </c>
      <c r="AC67" s="48">
        <v>0.4196364680511257</v>
      </c>
      <c r="AD67" s="46">
        <v>0.41689688337855269</v>
      </c>
      <c r="AE67" s="48">
        <v>0.41484490850092215</v>
      </c>
      <c r="AF67" s="48">
        <v>0.41337017478314797</v>
      </c>
      <c r="AG67" s="48">
        <v>0.41228722336945739</v>
      </c>
      <c r="AH67" s="19">
        <v>0.41140922443488587</v>
      </c>
      <c r="AI67" s="48">
        <v>0.41071762662649736</v>
      </c>
      <c r="AJ67" s="48">
        <v>0.4101189151527625</v>
      </c>
      <c r="AK67" s="48">
        <v>0.4096328690768038</v>
      </c>
      <c r="AL67" s="48">
        <v>0.40918126990232945</v>
      </c>
      <c r="AM67" s="19">
        <v>0.40877371444845062</v>
      </c>
      <c r="AN67" s="49">
        <v>0.40877371444845062</v>
      </c>
    </row>
    <row r="68" spans="12:40" x14ac:dyDescent="0.35">
      <c r="L68" s="46"/>
      <c r="M68" s="47">
        <v>0.99000000000000066</v>
      </c>
      <c r="N68" s="46">
        <v>0.910820555976394</v>
      </c>
      <c r="O68" s="46">
        <v>0.77890047965609099</v>
      </c>
      <c r="P68" s="48">
        <v>0.70754313229758792</v>
      </c>
      <c r="Q68" s="48">
        <v>0.66405659132661954</v>
      </c>
      <c r="R68" s="48">
        <v>0.6147104498379341</v>
      </c>
      <c r="S68" s="19">
        <v>0.58483898626987807</v>
      </c>
      <c r="T68" s="46">
        <v>0.56510206382700423</v>
      </c>
      <c r="U68" s="48">
        <v>0.54411572789093554</v>
      </c>
      <c r="V68" s="48">
        <v>0.52219620248800236</v>
      </c>
      <c r="W68" s="48">
        <v>0.50319455889608178</v>
      </c>
      <c r="X68" s="19">
        <v>0.48667254269155991</v>
      </c>
      <c r="Y68" s="48">
        <v>0.47235236742681458</v>
      </c>
      <c r="Z68" s="48">
        <v>0.46029989864654502</v>
      </c>
      <c r="AA68" s="48">
        <v>0.45054652265107747</v>
      </c>
      <c r="AB68" s="48">
        <v>0.44235410798841301</v>
      </c>
      <c r="AC68" s="48">
        <v>0.43591128388190159</v>
      </c>
      <c r="AD68" s="46">
        <v>0.43086151993529337</v>
      </c>
      <c r="AE68" s="48">
        <v>0.42706417481896508</v>
      </c>
      <c r="AF68" s="48">
        <v>0.42435038441086081</v>
      </c>
      <c r="AG68" s="48">
        <v>0.42241124415831666</v>
      </c>
      <c r="AH68" s="19">
        <v>0.4207878715067408</v>
      </c>
      <c r="AI68" s="48">
        <v>0.41950844357475242</v>
      </c>
      <c r="AJ68" s="48">
        <v>0.41845663038890657</v>
      </c>
      <c r="AK68" s="48">
        <v>0.41752362883182226</v>
      </c>
      <c r="AL68" s="48">
        <v>0.4167028331597683</v>
      </c>
      <c r="AM68" s="19">
        <v>0.41598268657045567</v>
      </c>
      <c r="AN68" s="49">
        <v>0.41598268657045567</v>
      </c>
    </row>
    <row r="69" spans="12:40" x14ac:dyDescent="0.35">
      <c r="L69" s="50"/>
      <c r="M69" s="51">
        <v>0.999</v>
      </c>
      <c r="N69" s="50">
        <v>0.9712919380646714</v>
      </c>
      <c r="O69" s="50">
        <v>0.87580397860375581</v>
      </c>
      <c r="P69" s="52">
        <v>0.80120047298948094</v>
      </c>
      <c r="Q69" s="52">
        <v>0.74865687208378062</v>
      </c>
      <c r="R69" s="52">
        <v>0.68676025432657062</v>
      </c>
      <c r="S69" s="30">
        <v>0.64821039133483926</v>
      </c>
      <c r="T69" s="50">
        <v>0.62138557632738067</v>
      </c>
      <c r="U69" s="52">
        <v>0.59305628905809815</v>
      </c>
      <c r="V69" s="52">
        <v>0.56374497419034497</v>
      </c>
      <c r="W69" s="52">
        <v>0.53813488814779276</v>
      </c>
      <c r="X69" s="30">
        <v>0.51631958800731181</v>
      </c>
      <c r="Y69" s="52">
        <v>0.49648938592975844</v>
      </c>
      <c r="Z69" s="52">
        <v>0.48033191685694271</v>
      </c>
      <c r="AA69" s="52">
        <v>0.46760243263896661</v>
      </c>
      <c r="AB69" s="52">
        <v>0.4564467368021437</v>
      </c>
      <c r="AC69" s="52">
        <v>0.44752717009384541</v>
      </c>
      <c r="AD69" s="50">
        <v>0.44106015581541264</v>
      </c>
      <c r="AE69" s="52">
        <v>0.43603195721045451</v>
      </c>
      <c r="AF69" s="52">
        <v>0.43240744998441982</v>
      </c>
      <c r="AG69" s="52">
        <v>0.4296799378728251</v>
      </c>
      <c r="AH69" s="30">
        <v>0.42771060657230064</v>
      </c>
      <c r="AI69" s="52">
        <v>0.42593764934130757</v>
      </c>
      <c r="AJ69" s="52">
        <v>0.42456994068560144</v>
      </c>
      <c r="AK69" s="52">
        <v>0.42330332870340143</v>
      </c>
      <c r="AL69" s="52">
        <v>0.42227961360043659</v>
      </c>
      <c r="AM69" s="30">
        <v>0.42132937215528482</v>
      </c>
      <c r="AN69" s="53">
        <v>0.42132937215528482</v>
      </c>
    </row>
    <row r="70" spans="12:40" x14ac:dyDescent="0.35">
      <c r="L70" s="41"/>
      <c r="M70" s="42">
        <v>1E-3</v>
      </c>
      <c r="N70" s="41">
        <v>1.7238976325515323E-2</v>
      </c>
      <c r="O70" s="41">
        <v>7.7571593909978545E-2</v>
      </c>
      <c r="P70" s="43">
        <v>0.12226320781905615</v>
      </c>
      <c r="Q70" s="43">
        <v>0.15456494766402376</v>
      </c>
      <c r="R70" s="43">
        <v>0.19682200469389391</v>
      </c>
      <c r="S70" s="44">
        <v>0.22390321369128668</v>
      </c>
      <c r="T70" s="41">
        <v>0.24392235060621242</v>
      </c>
      <c r="U70" s="43">
        <v>0.26481048771333771</v>
      </c>
      <c r="V70" s="43">
        <v>0.28915651566984218</v>
      </c>
      <c r="W70" s="43">
        <v>0.310020749819306</v>
      </c>
      <c r="X70" s="44">
        <v>0.32823230568897083</v>
      </c>
      <c r="Y70" s="43">
        <v>0.34484518053805213</v>
      </c>
      <c r="Z70" s="43">
        <v>0.35882864065359571</v>
      </c>
      <c r="AA70" s="43">
        <v>0.37073277568933655</v>
      </c>
      <c r="AB70" s="43">
        <v>0.3802621089279733</v>
      </c>
      <c r="AC70" s="43">
        <v>0.38848129339403448</v>
      </c>
      <c r="AD70" s="41">
        <v>0.39450200072621522</v>
      </c>
      <c r="AE70" s="43">
        <v>0.39901819969512931</v>
      </c>
      <c r="AF70" s="43">
        <v>0.40236163229076666</v>
      </c>
      <c r="AG70" s="43">
        <v>0.40494846097768039</v>
      </c>
      <c r="AH70" s="44">
        <v>0.40679920866925223</v>
      </c>
      <c r="AI70" s="43">
        <v>0.40839222935695951</v>
      </c>
      <c r="AJ70" s="43">
        <v>0.40980381140540084</v>
      </c>
      <c r="AK70" s="43">
        <v>0.41111314122846493</v>
      </c>
      <c r="AL70" s="43">
        <v>0.41207837435873163</v>
      </c>
      <c r="AM70" s="44">
        <v>0.41300475069070386</v>
      </c>
      <c r="AN70" s="45">
        <v>0.41300475069070386</v>
      </c>
    </row>
    <row r="71" spans="12:40" x14ac:dyDescent="0.35">
      <c r="L71" s="46"/>
      <c r="M71" s="47">
        <v>0.01</v>
      </c>
      <c r="N71" s="46">
        <v>5.4790816650111873E-2</v>
      </c>
      <c r="O71" s="46">
        <v>0.13562875509861141</v>
      </c>
      <c r="P71" s="48">
        <v>0.18068456186977477</v>
      </c>
      <c r="Q71" s="48">
        <v>0.20959074343935682</v>
      </c>
      <c r="R71" s="48">
        <v>0.24654580222183886</v>
      </c>
      <c r="S71" s="19">
        <v>0.27000530877766499</v>
      </c>
      <c r="T71" s="46">
        <v>0.28601795208010894</v>
      </c>
      <c r="U71" s="48">
        <v>0.30309790927637043</v>
      </c>
      <c r="V71" s="48">
        <v>0.32222765906016249</v>
      </c>
      <c r="W71" s="48">
        <v>0.33864787158367649</v>
      </c>
      <c r="X71" s="19">
        <v>0.35278398690451346</v>
      </c>
      <c r="Y71" s="48">
        <v>0.36567297020525297</v>
      </c>
      <c r="Z71" s="48">
        <v>0.37679680739721255</v>
      </c>
      <c r="AA71" s="48">
        <v>0.3858116888492909</v>
      </c>
      <c r="AB71" s="48">
        <v>0.39316254771365478</v>
      </c>
      <c r="AC71" s="48">
        <v>0.39931186805219732</v>
      </c>
      <c r="AD71" s="46">
        <v>0.40388940768010712</v>
      </c>
      <c r="AE71" s="48">
        <v>0.40745887462416547</v>
      </c>
      <c r="AF71" s="48">
        <v>0.40995760844804013</v>
      </c>
      <c r="AG71" s="48">
        <v>0.4118505122962966</v>
      </c>
      <c r="AH71" s="19">
        <v>0.41335210070673972</v>
      </c>
      <c r="AI71" s="48">
        <v>0.41454574748210954</v>
      </c>
      <c r="AJ71" s="48">
        <v>0.41558912755441524</v>
      </c>
      <c r="AK71" s="48">
        <v>0.41646670956013665</v>
      </c>
      <c r="AL71" s="48">
        <v>0.4172747830586267</v>
      </c>
      <c r="AM71" s="19">
        <v>0.41796521092283029</v>
      </c>
      <c r="AN71" s="49">
        <v>0.41796521092283029</v>
      </c>
    </row>
    <row r="72" spans="12:40" x14ac:dyDescent="0.35">
      <c r="L72" s="46"/>
      <c r="M72" s="47">
        <v>9.9999999999999992E-2</v>
      </c>
      <c r="N72" s="46">
        <v>0.17302247226775386</v>
      </c>
      <c r="O72" s="46">
        <v>0.24524293150887946</v>
      </c>
      <c r="P72" s="48">
        <v>0.27918272850450404</v>
      </c>
      <c r="Q72" s="48">
        <v>0.29998708868300095</v>
      </c>
      <c r="R72" s="48">
        <v>0.32439442173161809</v>
      </c>
      <c r="S72" s="19">
        <v>0.33902414592875785</v>
      </c>
      <c r="T72" s="46">
        <v>0.34883119486089265</v>
      </c>
      <c r="U72" s="48">
        <v>0.35929802674076394</v>
      </c>
      <c r="V72" s="48">
        <v>0.37036817312040959</v>
      </c>
      <c r="W72" s="48">
        <v>0.3797446171653126</v>
      </c>
      <c r="X72" s="19">
        <v>0.38812236759827601</v>
      </c>
      <c r="Y72" s="48">
        <v>0.39540566564325075</v>
      </c>
      <c r="Z72" s="48">
        <v>0.40182412333098066</v>
      </c>
      <c r="AA72" s="48">
        <v>0.40688101963624518</v>
      </c>
      <c r="AB72" s="48">
        <v>0.41107146081063733</v>
      </c>
      <c r="AC72" s="48">
        <v>0.41444966526339394</v>
      </c>
      <c r="AD72" s="46">
        <v>0.41706262259280502</v>
      </c>
      <c r="AE72" s="48">
        <v>0.41903816375144637</v>
      </c>
      <c r="AF72" s="48">
        <v>0.42042324789323909</v>
      </c>
      <c r="AG72" s="48">
        <v>0.42147929250461402</v>
      </c>
      <c r="AH72" s="19">
        <v>0.42229605118706948</v>
      </c>
      <c r="AI72" s="48">
        <v>0.4229796257477208</v>
      </c>
      <c r="AJ72" s="48">
        <v>0.42353790430718014</v>
      </c>
      <c r="AK72" s="48">
        <v>0.42401390349509682</v>
      </c>
      <c r="AL72" s="48">
        <v>0.4244572413837947</v>
      </c>
      <c r="AM72" s="19">
        <v>0.42484125334399209</v>
      </c>
      <c r="AN72" s="49">
        <v>0.42484125334399209</v>
      </c>
    </row>
    <row r="73" spans="12:40" x14ac:dyDescent="0.35">
      <c r="L73" s="46"/>
      <c r="M73" s="47">
        <v>0.25000000000000006</v>
      </c>
      <c r="N73" s="46">
        <v>0.27418858276257552</v>
      </c>
      <c r="O73" s="46">
        <v>0.32468832618444837</v>
      </c>
      <c r="P73" s="48">
        <v>0.34703615477290001</v>
      </c>
      <c r="Q73" s="48">
        <v>0.35960105148990062</v>
      </c>
      <c r="R73" s="48">
        <v>0.37362137699276604</v>
      </c>
      <c r="S73" s="19">
        <v>0.38204048815778152</v>
      </c>
      <c r="T73" s="46">
        <v>0.38753534855848243</v>
      </c>
      <c r="U73" s="48">
        <v>0.39335807368507736</v>
      </c>
      <c r="V73" s="48">
        <v>0.3994125222429622</v>
      </c>
      <c r="W73" s="48">
        <v>0.40461076391139528</v>
      </c>
      <c r="X73" s="19">
        <v>0.4091911729143925</v>
      </c>
      <c r="Y73" s="48">
        <v>0.41316158679878962</v>
      </c>
      <c r="Z73" s="48">
        <v>0.41656435654700036</v>
      </c>
      <c r="AA73" s="48">
        <v>0.41931558486158432</v>
      </c>
      <c r="AB73" s="48">
        <v>0.42156095826113288</v>
      </c>
      <c r="AC73" s="48">
        <v>0.42335671281385956</v>
      </c>
      <c r="AD73" s="46">
        <v>0.42473872167969612</v>
      </c>
      <c r="AE73" s="48">
        <v>0.4257862320328043</v>
      </c>
      <c r="AF73" s="48">
        <v>0.42652025984908642</v>
      </c>
      <c r="AG73" s="48">
        <v>0.42707512395700592</v>
      </c>
      <c r="AH73" s="19">
        <v>0.42752204237781444</v>
      </c>
      <c r="AI73" s="48">
        <v>0.42787813342592307</v>
      </c>
      <c r="AJ73" s="48">
        <v>0.4281748261320702</v>
      </c>
      <c r="AK73" s="48">
        <v>0.42843764870969192</v>
      </c>
      <c r="AL73" s="48">
        <v>0.42866498027757927</v>
      </c>
      <c r="AM73" s="19">
        <v>0.42887634932659524</v>
      </c>
      <c r="AN73" s="49">
        <v>0.42887634932659524</v>
      </c>
    </row>
    <row r="74" spans="12:40" x14ac:dyDescent="0.35">
      <c r="L74" s="46">
        <f>M29</f>
        <v>0.3</v>
      </c>
      <c r="M74" s="47">
        <v>0.50000000000000022</v>
      </c>
      <c r="N74" s="46">
        <v>0.40888577504462903</v>
      </c>
      <c r="O74" s="46">
        <v>0.42626937246879548</v>
      </c>
      <c r="P74" s="48">
        <v>0.42894205889248382</v>
      </c>
      <c r="Q74" s="48">
        <v>0.42999763388513612</v>
      </c>
      <c r="R74" s="48">
        <v>0.43113405806489313</v>
      </c>
      <c r="S74" s="19">
        <v>0.43164469940222688</v>
      </c>
      <c r="T74" s="46">
        <v>0.43199196833238096</v>
      </c>
      <c r="U74" s="48">
        <v>0.43231000609198933</v>
      </c>
      <c r="V74" s="48">
        <v>0.43257057171033053</v>
      </c>
      <c r="W74" s="48">
        <v>0.43271476121745606</v>
      </c>
      <c r="X74" s="19">
        <v>0.43291379748298497</v>
      </c>
      <c r="Y74" s="48">
        <v>0.4330474456467367</v>
      </c>
      <c r="Z74" s="48">
        <v>0.43316862409634271</v>
      </c>
      <c r="AA74" s="48">
        <v>0.43319968016621274</v>
      </c>
      <c r="AB74" s="48">
        <v>0.43324156747309139</v>
      </c>
      <c r="AC74" s="48">
        <v>0.43327586406740554</v>
      </c>
      <c r="AD74" s="46">
        <v>0.43331554036060921</v>
      </c>
      <c r="AE74" s="48">
        <v>0.43331061638857871</v>
      </c>
      <c r="AF74" s="48">
        <v>0.43331179085486327</v>
      </c>
      <c r="AG74" s="48">
        <v>0.43332332311303118</v>
      </c>
      <c r="AH74" s="19">
        <v>0.43331296234194072</v>
      </c>
      <c r="AI74" s="48">
        <v>0.43332823187182379</v>
      </c>
      <c r="AJ74" s="48">
        <v>0.43331487875852193</v>
      </c>
      <c r="AK74" s="48">
        <v>0.43332765437783466</v>
      </c>
      <c r="AL74" s="48">
        <v>0.43332567225973834</v>
      </c>
      <c r="AM74" s="19">
        <v>0.43332744233141646</v>
      </c>
      <c r="AN74" s="49">
        <v>0.43332744233141646</v>
      </c>
    </row>
    <row r="75" spans="12:40" x14ac:dyDescent="0.35">
      <c r="L75" s="46"/>
      <c r="M75" s="47">
        <v>0.75000000000000044</v>
      </c>
      <c r="N75" s="46">
        <v>0.58234546796791931</v>
      </c>
      <c r="O75" s="46">
        <v>0.5342165045713001</v>
      </c>
      <c r="P75" s="48">
        <v>0.51499615837624013</v>
      </c>
      <c r="Q75" s="48">
        <v>0.50355277378157193</v>
      </c>
      <c r="R75" s="48">
        <v>0.4906225978200161</v>
      </c>
      <c r="S75" s="19">
        <v>0.48292513466288439</v>
      </c>
      <c r="T75" s="46">
        <v>0.47760323570385443</v>
      </c>
      <c r="U75" s="48">
        <v>0.47216972128816637</v>
      </c>
      <c r="V75" s="48">
        <v>0.4664066701557078</v>
      </c>
      <c r="W75" s="48">
        <v>0.46136298318001323</v>
      </c>
      <c r="X75" s="19">
        <v>0.45707885049147878</v>
      </c>
      <c r="Y75" s="48">
        <v>0.45317930815206908</v>
      </c>
      <c r="Z75" s="48">
        <v>0.44985434620723508</v>
      </c>
      <c r="AA75" s="48">
        <v>0.44723616478082162</v>
      </c>
      <c r="AB75" s="48">
        <v>0.44508115061729953</v>
      </c>
      <c r="AC75" s="48">
        <v>0.44331088801677954</v>
      </c>
      <c r="AD75" s="46">
        <v>0.44193263439824648</v>
      </c>
      <c r="AE75" s="48">
        <v>0.44088571050234443</v>
      </c>
      <c r="AF75" s="48">
        <v>0.44013315575108508</v>
      </c>
      <c r="AG75" s="48">
        <v>0.43956992993341604</v>
      </c>
      <c r="AH75" s="19">
        <v>0.4391376182871784</v>
      </c>
      <c r="AI75" s="48">
        <v>0.43878195910332951</v>
      </c>
      <c r="AJ75" s="48">
        <v>0.43848237555498337</v>
      </c>
      <c r="AK75" s="48">
        <v>0.43823300972018803</v>
      </c>
      <c r="AL75" s="48">
        <v>0.43800421230221509</v>
      </c>
      <c r="AM75" s="19">
        <v>0.43780562405046092</v>
      </c>
      <c r="AN75" s="49">
        <v>0.43780562405046092</v>
      </c>
    </row>
    <row r="76" spans="12:40" x14ac:dyDescent="0.35">
      <c r="L76" s="46"/>
      <c r="M76" s="47">
        <v>0.90000000000000058</v>
      </c>
      <c r="N76" s="46">
        <v>0.73539794643195555</v>
      </c>
      <c r="O76" s="46">
        <v>0.63179945961027673</v>
      </c>
      <c r="P76" s="48">
        <v>0.59348793856599746</v>
      </c>
      <c r="Q76" s="48">
        <v>0.57120209400570443</v>
      </c>
      <c r="R76" s="48">
        <v>0.54492463053579088</v>
      </c>
      <c r="S76" s="19">
        <v>0.52976841456385448</v>
      </c>
      <c r="T76" s="46">
        <v>0.51929853264265835</v>
      </c>
      <c r="U76" s="48">
        <v>0.50858619806563854</v>
      </c>
      <c r="V76" s="48">
        <v>0.49723611199067036</v>
      </c>
      <c r="W76" s="48">
        <v>0.48746403661526055</v>
      </c>
      <c r="X76" s="19">
        <v>0.47893469233974501</v>
      </c>
      <c r="Y76" s="48">
        <v>0.47145253693302347</v>
      </c>
      <c r="Z76" s="48">
        <v>0.46506664206475623</v>
      </c>
      <c r="AA76" s="48">
        <v>0.4599442784453473</v>
      </c>
      <c r="AB76" s="48">
        <v>0.45578395731712595</v>
      </c>
      <c r="AC76" s="48">
        <v>0.45237218604918256</v>
      </c>
      <c r="AD76" s="46">
        <v>0.44971360000716426</v>
      </c>
      <c r="AE76" s="48">
        <v>0.4477192344058763</v>
      </c>
      <c r="AF76" s="48">
        <v>0.44629041811197867</v>
      </c>
      <c r="AG76" s="48">
        <v>0.44524420372277862</v>
      </c>
      <c r="AH76" s="19">
        <v>0.44439655762262731</v>
      </c>
      <c r="AI76" s="48">
        <v>0.44372300477587734</v>
      </c>
      <c r="AJ76" s="48">
        <v>0.4431376721833602</v>
      </c>
      <c r="AK76" s="48">
        <v>0.44267509308031999</v>
      </c>
      <c r="AL76" s="48">
        <v>0.44223444076993296</v>
      </c>
      <c r="AM76" s="19">
        <v>0.44184507594500494</v>
      </c>
      <c r="AN76" s="49">
        <v>0.44184507594500494</v>
      </c>
    </row>
    <row r="77" spans="12:40" x14ac:dyDescent="0.35">
      <c r="L77" s="46"/>
      <c r="M77" s="47">
        <v>0.99000000000000066</v>
      </c>
      <c r="N77" s="46">
        <v>0.91658026863017039</v>
      </c>
      <c r="O77" s="46">
        <v>0.79318033662325949</v>
      </c>
      <c r="P77" s="48">
        <v>0.72643165016212519</v>
      </c>
      <c r="Q77" s="48">
        <v>0.68547211263485752</v>
      </c>
      <c r="R77" s="48">
        <v>0.638763795897069</v>
      </c>
      <c r="S77" s="19">
        <v>0.61062042633314295</v>
      </c>
      <c r="T77" s="46">
        <v>0.59177316471656927</v>
      </c>
      <c r="U77" s="48">
        <v>0.57173717720871009</v>
      </c>
      <c r="V77" s="48">
        <v>0.550908327164773</v>
      </c>
      <c r="W77" s="48">
        <v>0.53269699896618727</v>
      </c>
      <c r="X77" s="19">
        <v>0.51691711486134162</v>
      </c>
      <c r="Y77" s="48">
        <v>0.50313047319811544</v>
      </c>
      <c r="Z77" s="48">
        <v>0.49157080839826267</v>
      </c>
      <c r="AA77" s="48">
        <v>0.48215677740055873</v>
      </c>
      <c r="AB77" s="48">
        <v>0.47427353986740373</v>
      </c>
      <c r="AC77" s="48">
        <v>0.4680719137374762</v>
      </c>
      <c r="AD77" s="46">
        <v>0.46320660071756209</v>
      </c>
      <c r="AE77" s="48">
        <v>0.45952963012191722</v>
      </c>
      <c r="AF77" s="48">
        <v>0.45689279347568085</v>
      </c>
      <c r="AG77" s="48">
        <v>0.45503358274182559</v>
      </c>
      <c r="AH77" s="19">
        <v>0.45347487043174717</v>
      </c>
      <c r="AI77" s="48">
        <v>0.45221917262738587</v>
      </c>
      <c r="AJ77" s="48">
        <v>0.45123453857516704</v>
      </c>
      <c r="AK77" s="48">
        <v>0.4503039166486183</v>
      </c>
      <c r="AL77" s="48">
        <v>0.44952221264115177</v>
      </c>
      <c r="AM77" s="19">
        <v>0.44882477206211713</v>
      </c>
      <c r="AN77" s="49">
        <v>0.44882477206211713</v>
      </c>
    </row>
    <row r="78" spans="12:40" x14ac:dyDescent="0.35">
      <c r="L78" s="50"/>
      <c r="M78" s="51">
        <v>0.999</v>
      </c>
      <c r="N78" s="50">
        <v>0.97314606699992856</v>
      </c>
      <c r="O78" s="50">
        <v>0.8838252597837023</v>
      </c>
      <c r="P78" s="52">
        <v>0.81404007031848136</v>
      </c>
      <c r="Q78" s="52">
        <v>0.76489003220435248</v>
      </c>
      <c r="R78" s="52">
        <v>0.70679824614700537</v>
      </c>
      <c r="S78" s="30">
        <v>0.67052473416979907</v>
      </c>
      <c r="T78" s="50">
        <v>0.64490713169106118</v>
      </c>
      <c r="U78" s="52">
        <v>0.61832589961586804</v>
      </c>
      <c r="V78" s="52">
        <v>0.59024104122566134</v>
      </c>
      <c r="W78" s="52">
        <v>0.56595771922821558</v>
      </c>
      <c r="X78" s="30">
        <v>0.54519290342717919</v>
      </c>
      <c r="Y78" s="52">
        <v>0.52623837646217075</v>
      </c>
      <c r="Z78" s="52">
        <v>0.51078993542274287</v>
      </c>
      <c r="AA78" s="52">
        <v>0.49854854858157771</v>
      </c>
      <c r="AB78" s="52">
        <v>0.48782858436139398</v>
      </c>
      <c r="AC78" s="52">
        <v>0.479259311281446</v>
      </c>
      <c r="AD78" s="50">
        <v>0.47305709239958504</v>
      </c>
      <c r="AE78" s="52">
        <v>0.46813812447021319</v>
      </c>
      <c r="AF78" s="52">
        <v>0.46471983119241389</v>
      </c>
      <c r="AG78" s="52">
        <v>0.46206157936841946</v>
      </c>
      <c r="AH78" s="30">
        <v>0.46018910054929796</v>
      </c>
      <c r="AI78" s="52">
        <v>0.45843148767567521</v>
      </c>
      <c r="AJ78" s="52">
        <v>0.45713120902913118</v>
      </c>
      <c r="AK78" s="52">
        <v>0.45590492325181714</v>
      </c>
      <c r="AL78" s="52">
        <v>0.45485947747183736</v>
      </c>
      <c r="AM78" s="30">
        <v>0.45399108983169628</v>
      </c>
      <c r="AN78" s="53">
        <v>0.45399108983169628</v>
      </c>
    </row>
    <row r="79" spans="12:40" x14ac:dyDescent="0.35">
      <c r="L79" s="41"/>
      <c r="M79" s="42">
        <v>1E-3</v>
      </c>
      <c r="N79" s="41">
        <v>1.9905855244179715E-2</v>
      </c>
      <c r="O79" s="41">
        <v>8.9571961250788895E-2</v>
      </c>
      <c r="P79" s="43">
        <v>0.14117739189263845</v>
      </c>
      <c r="Q79" s="43">
        <v>0.17806368870794093</v>
      </c>
      <c r="R79" s="43">
        <v>0.22492357398228938</v>
      </c>
      <c r="S79" s="44">
        <v>0.25450409877015318</v>
      </c>
      <c r="T79" s="41">
        <v>0.27528862378777225</v>
      </c>
      <c r="U79" s="43">
        <v>0.29724335525689571</v>
      </c>
      <c r="V79" s="43">
        <v>0.32230345908227337</v>
      </c>
      <c r="W79" s="43">
        <v>0.34332897496371417</v>
      </c>
      <c r="X79" s="44">
        <v>0.36215705330353748</v>
      </c>
      <c r="Y79" s="43">
        <v>0.37871765381857536</v>
      </c>
      <c r="Z79" s="43">
        <v>0.39272703065604658</v>
      </c>
      <c r="AA79" s="43">
        <v>0.40478464918152074</v>
      </c>
      <c r="AB79" s="43">
        <v>0.4142202952189562</v>
      </c>
      <c r="AC79" s="43">
        <v>0.42237819235527135</v>
      </c>
      <c r="AD79" s="41">
        <v>0.42835642100723015</v>
      </c>
      <c r="AE79" s="43">
        <v>0.43291599363568528</v>
      </c>
      <c r="AF79" s="43">
        <v>0.43618493524401791</v>
      </c>
      <c r="AG79" s="43">
        <v>0.43869004565098424</v>
      </c>
      <c r="AH79" s="44">
        <v>0.44058079876252043</v>
      </c>
      <c r="AI79" s="43">
        <v>0.44220165106024306</v>
      </c>
      <c r="AJ79" s="43">
        <v>0.44358462705805612</v>
      </c>
      <c r="AK79" s="43">
        <v>0.44483335462687984</v>
      </c>
      <c r="AL79" s="43">
        <v>0.44574916423010102</v>
      </c>
      <c r="AM79" s="44">
        <v>0.44667708931237926</v>
      </c>
      <c r="AN79" s="45">
        <v>0.44667708931237926</v>
      </c>
    </row>
    <row r="80" spans="12:40" x14ac:dyDescent="0.35">
      <c r="L80" s="46"/>
      <c r="M80" s="47">
        <v>0.01</v>
      </c>
      <c r="N80" s="46">
        <v>6.3266985484123031E-2</v>
      </c>
      <c r="O80" s="46">
        <v>0.15661059653207426</v>
      </c>
      <c r="P80" s="48">
        <v>0.2078389920368037</v>
      </c>
      <c r="Q80" s="48">
        <v>0.23943208083708939</v>
      </c>
      <c r="R80" s="48">
        <v>0.27843799315526963</v>
      </c>
      <c r="S80" s="19">
        <v>0.30283152737551478</v>
      </c>
      <c r="T80" s="46">
        <v>0.31947248128903399</v>
      </c>
      <c r="U80" s="48">
        <v>0.33670866162207796</v>
      </c>
      <c r="V80" s="48">
        <v>0.3562647249059861</v>
      </c>
      <c r="W80" s="48">
        <v>0.37277786439963201</v>
      </c>
      <c r="X80" s="19">
        <v>0.38696770049002882</v>
      </c>
      <c r="Y80" s="48">
        <v>0.39978590408775544</v>
      </c>
      <c r="Z80" s="48">
        <v>0.41083415198725287</v>
      </c>
      <c r="AA80" s="48">
        <v>0.41977143580627274</v>
      </c>
      <c r="AB80" s="48">
        <v>0.42713581656521898</v>
      </c>
      <c r="AC80" s="48">
        <v>0.4331631816999062</v>
      </c>
      <c r="AD80" s="46">
        <v>0.43771098755548188</v>
      </c>
      <c r="AE80" s="48">
        <v>0.44120253594727521</v>
      </c>
      <c r="AF80" s="48">
        <v>0.44367335694082882</v>
      </c>
      <c r="AG80" s="48">
        <v>0.44555060367663424</v>
      </c>
      <c r="AH80" s="19">
        <v>0.44702007695770035</v>
      </c>
      <c r="AI80" s="48">
        <v>0.44820041193874949</v>
      </c>
      <c r="AJ80" s="48">
        <v>0.44922076577280434</v>
      </c>
      <c r="AK80" s="48">
        <v>0.45007245198347073</v>
      </c>
      <c r="AL80" s="48">
        <v>0.4508749627376773</v>
      </c>
      <c r="AM80" s="19">
        <v>0.45156700274364708</v>
      </c>
      <c r="AN80" s="49">
        <v>0.45156700274364708</v>
      </c>
    </row>
    <row r="81" spans="12:40" x14ac:dyDescent="0.35">
      <c r="L81" s="46"/>
      <c r="M81" s="47">
        <v>9.9999999999999992E-2</v>
      </c>
      <c r="N81" s="46">
        <v>0.19978914187928451</v>
      </c>
      <c r="O81" s="46">
        <v>0.28002606561927612</v>
      </c>
      <c r="P81" s="48">
        <v>0.31445781453988003</v>
      </c>
      <c r="Q81" s="48">
        <v>0.33510523504753331</v>
      </c>
      <c r="R81" s="48">
        <v>0.35924803490164353</v>
      </c>
      <c r="S81" s="19">
        <v>0.37379333442065621</v>
      </c>
      <c r="T81" s="46">
        <v>0.38341740698213506</v>
      </c>
      <c r="U81" s="48">
        <v>0.39378154732151305</v>
      </c>
      <c r="V81" s="48">
        <v>0.40474165846241794</v>
      </c>
      <c r="W81" s="48">
        <v>0.41397347828626757</v>
      </c>
      <c r="X81" s="19">
        <v>0.42219652757076809</v>
      </c>
      <c r="Y81" s="48">
        <v>0.42941079966700907</v>
      </c>
      <c r="Z81" s="48">
        <v>0.43570099894939895</v>
      </c>
      <c r="AA81" s="48">
        <v>0.44069034863439649</v>
      </c>
      <c r="AB81" s="48">
        <v>0.44480102139557559</v>
      </c>
      <c r="AC81" s="48">
        <v>0.44812578054867513</v>
      </c>
      <c r="AD81" s="46">
        <v>0.45069255966902932</v>
      </c>
      <c r="AE81" s="48">
        <v>0.45263174242834903</v>
      </c>
      <c r="AF81" s="48">
        <v>0.45399392741945754</v>
      </c>
      <c r="AG81" s="48">
        <v>0.45503148915798475</v>
      </c>
      <c r="AH81" s="19">
        <v>0.45584598598598036</v>
      </c>
      <c r="AI81" s="48">
        <v>0.45650470845441626</v>
      </c>
      <c r="AJ81" s="48">
        <v>0.45705352088879148</v>
      </c>
      <c r="AK81" s="48">
        <v>0.45752097311447393</v>
      </c>
      <c r="AL81" s="48">
        <v>0.45795536180767388</v>
      </c>
      <c r="AM81" s="19">
        <v>0.45833599072953746</v>
      </c>
      <c r="AN81" s="49">
        <v>0.45833599072953746</v>
      </c>
    </row>
    <row r="82" spans="12:40" x14ac:dyDescent="0.35">
      <c r="L82" s="46"/>
      <c r="M82" s="47">
        <v>0.25000000000000006</v>
      </c>
      <c r="N82" s="46">
        <v>0.3166057041333899</v>
      </c>
      <c r="O82" s="46">
        <v>0.3631129835493937</v>
      </c>
      <c r="P82" s="48">
        <v>0.38358322843927861</v>
      </c>
      <c r="Q82" s="48">
        <v>0.39545308169590337</v>
      </c>
      <c r="R82" s="48">
        <v>0.40876242355954562</v>
      </c>
      <c r="S82" s="19">
        <v>0.41686789718319101</v>
      </c>
      <c r="T82" s="46">
        <v>0.42214337421448611</v>
      </c>
      <c r="U82" s="48">
        <v>0.42773692846094402</v>
      </c>
      <c r="V82" s="48">
        <v>0.43358421824622884</v>
      </c>
      <c r="W82" s="48">
        <v>0.43863582175154037</v>
      </c>
      <c r="X82" s="19">
        <v>0.44309130985228151</v>
      </c>
      <c r="Y82" s="48">
        <v>0.4469654399870806</v>
      </c>
      <c r="Z82" s="48">
        <v>0.45027236349426975</v>
      </c>
      <c r="AA82" s="48">
        <v>0.45294695491552694</v>
      </c>
      <c r="AB82" s="48">
        <v>0.455145185813919</v>
      </c>
      <c r="AC82" s="48">
        <v>0.45689706254276757</v>
      </c>
      <c r="AD82" s="46">
        <v>0.45824796495041631</v>
      </c>
      <c r="AE82" s="48">
        <v>0.45926812881560125</v>
      </c>
      <c r="AF82" s="48">
        <v>0.45999330652601139</v>
      </c>
      <c r="AG82" s="48">
        <v>0.46053698008757094</v>
      </c>
      <c r="AH82" s="19">
        <v>0.46097419060548184</v>
      </c>
      <c r="AI82" s="48">
        <v>0.46132370590749316</v>
      </c>
      <c r="AJ82" s="48">
        <v>0.46161154779665742</v>
      </c>
      <c r="AK82" s="48">
        <v>0.46187104150549302</v>
      </c>
      <c r="AL82" s="48">
        <v>0.4620915061708456</v>
      </c>
      <c r="AM82" s="19">
        <v>0.46229598341223638</v>
      </c>
      <c r="AN82" s="49">
        <v>0.46229598341223638</v>
      </c>
    </row>
    <row r="83" spans="12:40" x14ac:dyDescent="0.35">
      <c r="L83" s="46">
        <f>M30</f>
        <v>0.4</v>
      </c>
      <c r="M83" s="47">
        <v>0.50000000000000022</v>
      </c>
      <c r="N83" s="46">
        <v>0.45273456927484407</v>
      </c>
      <c r="O83" s="46">
        <v>0.46286323327586365</v>
      </c>
      <c r="P83" s="48">
        <v>0.46436993495775286</v>
      </c>
      <c r="Q83" s="48">
        <v>0.46490843022132666</v>
      </c>
      <c r="R83" s="48">
        <v>0.46553934170027023</v>
      </c>
      <c r="S83" s="19">
        <v>0.46572434895438491</v>
      </c>
      <c r="T83" s="46">
        <v>0.46593476156351216</v>
      </c>
      <c r="U83" s="48">
        <v>0.46611176205404831</v>
      </c>
      <c r="V83" s="48">
        <v>0.46621309480812201</v>
      </c>
      <c r="W83" s="48">
        <v>0.4662928510628761</v>
      </c>
      <c r="X83" s="19">
        <v>0.46642891570346195</v>
      </c>
      <c r="Y83" s="48">
        <v>0.46649063349784897</v>
      </c>
      <c r="Z83" s="48">
        <v>0.46657641776771785</v>
      </c>
      <c r="AA83" s="48">
        <v>0.46660191729268802</v>
      </c>
      <c r="AB83" s="48">
        <v>0.46662531823078524</v>
      </c>
      <c r="AC83" s="48">
        <v>0.46663727362974688</v>
      </c>
      <c r="AD83" s="46">
        <v>0.46666738488077913</v>
      </c>
      <c r="AE83" s="48">
        <v>0.46666557558532057</v>
      </c>
      <c r="AF83" s="48">
        <v>0.46665963106734554</v>
      </c>
      <c r="AG83" s="48">
        <v>0.46666850097463497</v>
      </c>
      <c r="AH83" s="19">
        <v>0.46665309661580312</v>
      </c>
      <c r="AI83" s="48">
        <v>0.46666878623048091</v>
      </c>
      <c r="AJ83" s="48">
        <v>0.46665936675672187</v>
      </c>
      <c r="AK83" s="48">
        <v>0.4666688986355163</v>
      </c>
      <c r="AL83" s="48">
        <v>0.46666840137501042</v>
      </c>
      <c r="AM83" s="19">
        <v>0.46666638137938266</v>
      </c>
      <c r="AN83" s="49">
        <v>0.46666638137938266</v>
      </c>
    </row>
    <row r="84" spans="12:40" x14ac:dyDescent="0.35">
      <c r="L84" s="46"/>
      <c r="M84" s="47">
        <v>0.75000000000000044</v>
      </c>
      <c r="N84" s="46">
        <v>0.61332703948360068</v>
      </c>
      <c r="O84" s="46">
        <v>0.56663014199761208</v>
      </c>
      <c r="P84" s="48">
        <v>0.54751113763895753</v>
      </c>
      <c r="Q84" s="48">
        <v>0.5360572347877447</v>
      </c>
      <c r="R84" s="48">
        <v>0.52327672622180399</v>
      </c>
      <c r="S84" s="19">
        <v>0.51564731341830861</v>
      </c>
      <c r="T84" s="46">
        <v>0.51032728379064685</v>
      </c>
      <c r="U84" s="48">
        <v>0.50494307103613689</v>
      </c>
      <c r="V84" s="48">
        <v>0.49925005302705194</v>
      </c>
      <c r="W84" s="48">
        <v>0.49426364290515296</v>
      </c>
      <c r="X84" s="19">
        <v>0.49004847346325814</v>
      </c>
      <c r="Y84" s="48">
        <v>0.4861763574007516</v>
      </c>
      <c r="Z84" s="48">
        <v>0.48292482487901872</v>
      </c>
      <c r="AA84" s="48">
        <v>0.48034284718523912</v>
      </c>
      <c r="AB84" s="48">
        <v>0.47820037184134273</v>
      </c>
      <c r="AC84" s="48">
        <v>0.4764688337859222</v>
      </c>
      <c r="AD84" s="46">
        <v>0.47511624138531511</v>
      </c>
      <c r="AE84" s="48">
        <v>0.47408681693079374</v>
      </c>
      <c r="AF84" s="48">
        <v>0.47334584852567502</v>
      </c>
      <c r="AG84" s="48">
        <v>0.47278942958568826</v>
      </c>
      <c r="AH84" s="19">
        <v>0.47236496701152403</v>
      </c>
      <c r="AI84" s="48">
        <v>0.47201723491442482</v>
      </c>
      <c r="AJ84" s="48">
        <v>0.47171933648596492</v>
      </c>
      <c r="AK84" s="48">
        <v>0.47147673015334252</v>
      </c>
      <c r="AL84" s="48">
        <v>0.47125420047816902</v>
      </c>
      <c r="AM84" s="19">
        <v>0.47105407436877939</v>
      </c>
      <c r="AN84" s="49">
        <v>0.47105407436877939</v>
      </c>
    </row>
    <row r="85" spans="12:40" x14ac:dyDescent="0.35">
      <c r="L85" s="46"/>
      <c r="M85" s="47">
        <v>0.90000000000000058</v>
      </c>
      <c r="N85" s="46">
        <v>0.75502610036561091</v>
      </c>
      <c r="O85" s="46">
        <v>0.65903170116438736</v>
      </c>
      <c r="P85" s="48">
        <v>0.62221768128899413</v>
      </c>
      <c r="Q85" s="48">
        <v>0.60071291370678215</v>
      </c>
      <c r="R85" s="48">
        <v>0.57541463731185061</v>
      </c>
      <c r="S85" s="19">
        <v>0.56071655675584742</v>
      </c>
      <c r="T85" s="46">
        <v>0.55058528114714789</v>
      </c>
      <c r="U85" s="48">
        <v>0.54020634899463749</v>
      </c>
      <c r="V85" s="48">
        <v>0.52913282526328909</v>
      </c>
      <c r="W85" s="48">
        <v>0.51957946086617457</v>
      </c>
      <c r="X85" s="19">
        <v>0.51128751578783593</v>
      </c>
      <c r="Y85" s="48">
        <v>0.5039766744297689</v>
      </c>
      <c r="Z85" s="48">
        <v>0.49775041004002857</v>
      </c>
      <c r="AA85" s="48">
        <v>0.49275010947010023</v>
      </c>
      <c r="AB85" s="48">
        <v>0.48866034074385861</v>
      </c>
      <c r="AC85" s="48">
        <v>0.48530603411179229</v>
      </c>
      <c r="AD85" s="46">
        <v>0.48271215842803539</v>
      </c>
      <c r="AE85" s="48">
        <v>0.48077309508865695</v>
      </c>
      <c r="AF85" s="48">
        <v>0.47937153371888641</v>
      </c>
      <c r="AG85" s="48">
        <v>0.47834452609227102</v>
      </c>
      <c r="AH85" s="19">
        <v>0.47751815842581957</v>
      </c>
      <c r="AI85" s="48">
        <v>0.4768538132713559</v>
      </c>
      <c r="AJ85" s="48">
        <v>0.47628026226386683</v>
      </c>
      <c r="AK85" s="48">
        <v>0.47582278954991836</v>
      </c>
      <c r="AL85" s="48">
        <v>0.47539200483447852</v>
      </c>
      <c r="AM85" s="19">
        <v>0.47501294412177142</v>
      </c>
      <c r="AN85" s="49">
        <v>0.47501294412177142</v>
      </c>
    </row>
    <row r="86" spans="12:40" x14ac:dyDescent="0.35">
      <c r="L86" s="46"/>
      <c r="M86" s="47">
        <v>0.99000000000000066</v>
      </c>
      <c r="N86" s="46">
        <v>0.92276833598018504</v>
      </c>
      <c r="O86" s="46">
        <v>0.80852219861762054</v>
      </c>
      <c r="P86" s="48">
        <v>0.74669971740613028</v>
      </c>
      <c r="Q86" s="48">
        <v>0.7084291564026729</v>
      </c>
      <c r="R86" s="48">
        <v>0.66446592441641728</v>
      </c>
      <c r="S86" s="19">
        <v>0.63769392541081149</v>
      </c>
      <c r="T86" s="46">
        <v>0.61974445599366368</v>
      </c>
      <c r="U86" s="48">
        <v>0.60049933290056001</v>
      </c>
      <c r="V86" s="48">
        <v>0.58068718293157029</v>
      </c>
      <c r="W86" s="48">
        <v>0.56316059728297396</v>
      </c>
      <c r="X86" s="19">
        <v>0.54799808903797764</v>
      </c>
      <c r="Y86" s="48">
        <v>0.53465601043978761</v>
      </c>
      <c r="Z86" s="48">
        <v>0.52342241631560382</v>
      </c>
      <c r="AA86" s="48">
        <v>0.51430795621961856</v>
      </c>
      <c r="AB86" s="48">
        <v>0.5066512584794518</v>
      </c>
      <c r="AC86" s="48">
        <v>0.50064901386562688</v>
      </c>
      <c r="AD86" s="46">
        <v>0.49586132251403414</v>
      </c>
      <c r="AE86" s="48">
        <v>0.49230977313387003</v>
      </c>
      <c r="AF86" s="48">
        <v>0.48972576912646321</v>
      </c>
      <c r="AG86" s="48">
        <v>0.48790825454210907</v>
      </c>
      <c r="AH86" s="19">
        <v>0.48637735229479162</v>
      </c>
      <c r="AI86" s="48">
        <v>0.48515255184544404</v>
      </c>
      <c r="AJ86" s="48">
        <v>0.48418043878477918</v>
      </c>
      <c r="AK86" s="48">
        <v>0.48327355496692292</v>
      </c>
      <c r="AL86" s="48">
        <v>0.48251211245022968</v>
      </c>
      <c r="AM86" s="19">
        <v>0.48184220403552352</v>
      </c>
      <c r="AN86" s="49">
        <v>0.48184220403552352</v>
      </c>
    </row>
    <row r="87" spans="12:40" x14ac:dyDescent="0.35">
      <c r="L87" s="50"/>
      <c r="M87" s="51">
        <v>0.999</v>
      </c>
      <c r="N87" s="50">
        <v>0.97513808907058852</v>
      </c>
      <c r="O87" s="50">
        <v>0.89244309042189696</v>
      </c>
      <c r="P87" s="52">
        <v>0.82783455934855998</v>
      </c>
      <c r="Q87" s="52">
        <v>0.78233046615791224</v>
      </c>
      <c r="R87" s="52">
        <v>0.72814275204764078</v>
      </c>
      <c r="S87" s="30">
        <v>0.69389730156507035</v>
      </c>
      <c r="T87" s="50">
        <v>0.67014917904883908</v>
      </c>
      <c r="U87" s="52">
        <v>0.64471590662292144</v>
      </c>
      <c r="V87" s="52">
        <v>0.61805290082658648</v>
      </c>
      <c r="W87" s="52">
        <v>0.59515699287544288</v>
      </c>
      <c r="X87" s="30">
        <v>0.57501342457371185</v>
      </c>
      <c r="Y87" s="52">
        <v>0.55685025456692328</v>
      </c>
      <c r="Z87" s="52">
        <v>0.54189822905189933</v>
      </c>
      <c r="AA87" s="52">
        <v>0.52999676120458705</v>
      </c>
      <c r="AB87" s="52">
        <v>0.51976067405700366</v>
      </c>
      <c r="AC87" s="52">
        <v>0.51153077016442627</v>
      </c>
      <c r="AD87" s="50">
        <v>0.50545579476234725</v>
      </c>
      <c r="AE87" s="52">
        <v>0.50064332695689395</v>
      </c>
      <c r="AF87" s="52">
        <v>0.49728606334692355</v>
      </c>
      <c r="AG87" s="52">
        <v>0.49475213670298857</v>
      </c>
      <c r="AH87" s="30">
        <v>0.49294015713185546</v>
      </c>
      <c r="AI87" s="52">
        <v>0.49123827478789106</v>
      </c>
      <c r="AJ87" s="52">
        <v>0.48988520529665447</v>
      </c>
      <c r="AK87" s="52">
        <v>0.48874124494837712</v>
      </c>
      <c r="AL87" s="52">
        <v>0.48775003861579946</v>
      </c>
      <c r="AM87" s="30">
        <v>0.48688432184438407</v>
      </c>
      <c r="AN87" s="53">
        <v>0.48688432184438407</v>
      </c>
    </row>
    <row r="88" spans="12:40" x14ac:dyDescent="0.35">
      <c r="L88" s="41"/>
      <c r="M88" s="42">
        <v>1E-3</v>
      </c>
      <c r="N88" s="41">
        <v>2.2984110982659522E-2</v>
      </c>
      <c r="O88" s="41">
        <v>9.8899799330673763E-2</v>
      </c>
      <c r="P88" s="43">
        <v>0.15894453637778258</v>
      </c>
      <c r="Q88" s="43">
        <v>0.19867905798174901</v>
      </c>
      <c r="R88" s="43">
        <v>0.25006379136988427</v>
      </c>
      <c r="S88" s="44">
        <v>0.28126579704158788</v>
      </c>
      <c r="T88" s="41">
        <v>0.3046055632607752</v>
      </c>
      <c r="U88" s="43">
        <v>0.3279645858516359</v>
      </c>
      <c r="V88" s="43">
        <v>0.35270731087388724</v>
      </c>
      <c r="W88" s="43">
        <v>0.37524128733295781</v>
      </c>
      <c r="X88" s="44">
        <v>0.39378522916743214</v>
      </c>
      <c r="Y88" s="43">
        <v>0.41139823810021159</v>
      </c>
      <c r="Z88" s="43">
        <v>0.42603335323815311</v>
      </c>
      <c r="AA88" s="43">
        <v>0.43817505618267832</v>
      </c>
      <c r="AB88" s="43">
        <v>0.44758348240539858</v>
      </c>
      <c r="AC88" s="43">
        <v>0.45537446221881112</v>
      </c>
      <c r="AD88" s="41">
        <v>0.46156149477866432</v>
      </c>
      <c r="AE88" s="43">
        <v>0.46618506177797681</v>
      </c>
      <c r="AF88" s="43">
        <v>0.46959019841027511</v>
      </c>
      <c r="AG88" s="43">
        <v>0.47209702003080589</v>
      </c>
      <c r="AH88" s="44">
        <v>0.47397895598549356</v>
      </c>
      <c r="AI88" s="43">
        <v>0.47557492820717462</v>
      </c>
      <c r="AJ88" s="43">
        <v>0.47693382740492168</v>
      </c>
      <c r="AK88" s="43">
        <v>0.47800812810902366</v>
      </c>
      <c r="AL88" s="43">
        <v>0.47904089195384625</v>
      </c>
      <c r="AM88" s="44">
        <v>0.47998927377033063</v>
      </c>
      <c r="AN88" s="45">
        <v>0.47998927377033063</v>
      </c>
    </row>
    <row r="89" spans="12:40" x14ac:dyDescent="0.35">
      <c r="L89" s="46"/>
      <c r="M89" s="47">
        <v>0.01</v>
      </c>
      <c r="N89" s="46">
        <v>7.0796635983360223E-2</v>
      </c>
      <c r="O89" s="46">
        <v>0.17491219845269573</v>
      </c>
      <c r="P89" s="48">
        <v>0.23125074773696214</v>
      </c>
      <c r="Q89" s="48">
        <v>0.26641134114033183</v>
      </c>
      <c r="R89" s="48">
        <v>0.30773665701847996</v>
      </c>
      <c r="S89" s="19">
        <v>0.33347803636713763</v>
      </c>
      <c r="T89" s="46">
        <v>0.35095406924204958</v>
      </c>
      <c r="U89" s="48">
        <v>0.36895550622383461</v>
      </c>
      <c r="V89" s="48">
        <v>0.38872355057665348</v>
      </c>
      <c r="W89" s="48">
        <v>0.40534436042018657</v>
      </c>
      <c r="X89" s="19">
        <v>0.42002320305096807</v>
      </c>
      <c r="Y89" s="48">
        <v>0.4331171051608938</v>
      </c>
      <c r="Z89" s="48">
        <v>0.4442319997686906</v>
      </c>
      <c r="AA89" s="48">
        <v>0.45316136100831572</v>
      </c>
      <c r="AB89" s="48">
        <v>0.46044427195921539</v>
      </c>
      <c r="AC89" s="48">
        <v>0.46639164885984652</v>
      </c>
      <c r="AD89" s="46">
        <v>0.47108987700261695</v>
      </c>
      <c r="AE89" s="48">
        <v>0.47458840673623365</v>
      </c>
      <c r="AF89" s="48">
        <v>0.47703868457044762</v>
      </c>
      <c r="AG89" s="48">
        <v>0.4789477235107365</v>
      </c>
      <c r="AH89" s="19">
        <v>0.48040005389853696</v>
      </c>
      <c r="AI89" s="48">
        <v>0.48163683124873452</v>
      </c>
      <c r="AJ89" s="48">
        <v>0.48263281142876879</v>
      </c>
      <c r="AK89" s="48">
        <v>0.48347698447905985</v>
      </c>
      <c r="AL89" s="48">
        <v>0.48428543787032374</v>
      </c>
      <c r="AM89" s="19">
        <v>0.48496091579766143</v>
      </c>
      <c r="AN89" s="49">
        <v>0.48496091579766143</v>
      </c>
    </row>
    <row r="90" spans="12:40" x14ac:dyDescent="0.35">
      <c r="L90" s="46"/>
      <c r="M90" s="47">
        <v>9.9999999999999992E-2</v>
      </c>
      <c r="N90" s="46">
        <v>0.22388655659823667</v>
      </c>
      <c r="O90" s="46">
        <v>0.31167336322561279</v>
      </c>
      <c r="P90" s="48">
        <v>0.3471143954540537</v>
      </c>
      <c r="Q90" s="48">
        <v>0.36803421226590571</v>
      </c>
      <c r="R90" s="48">
        <v>0.39251036086484775</v>
      </c>
      <c r="S90" s="19">
        <v>0.40710774430738966</v>
      </c>
      <c r="T90" s="46">
        <v>0.416908779047241</v>
      </c>
      <c r="U90" s="48">
        <v>0.42718906064534906</v>
      </c>
      <c r="V90" s="48">
        <v>0.43827595010279424</v>
      </c>
      <c r="W90" s="48">
        <v>0.44754356772730042</v>
      </c>
      <c r="X90" s="19">
        <v>0.45578530235888942</v>
      </c>
      <c r="Y90" s="48">
        <v>0.46311340248766736</v>
      </c>
      <c r="Z90" s="48">
        <v>0.46927301745533029</v>
      </c>
      <c r="AA90" s="48">
        <v>0.47418319174735263</v>
      </c>
      <c r="AB90" s="48">
        <v>0.47825213176224479</v>
      </c>
      <c r="AC90" s="48">
        <v>0.48157741300959145</v>
      </c>
      <c r="AD90" s="46">
        <v>0.48408392787062943</v>
      </c>
      <c r="AE90" s="48">
        <v>0.48601453069788514</v>
      </c>
      <c r="AF90" s="48">
        <v>0.48736199352381271</v>
      </c>
      <c r="AG90" s="48">
        <v>0.48840057151169708</v>
      </c>
      <c r="AH90" s="19">
        <v>0.48922056942054704</v>
      </c>
      <c r="AI90" s="48">
        <v>0.4898953710084441</v>
      </c>
      <c r="AJ90" s="48">
        <v>0.49045604928501824</v>
      </c>
      <c r="AK90" s="48">
        <v>0.49091972168644349</v>
      </c>
      <c r="AL90" s="48">
        <v>0.49134111242706235</v>
      </c>
      <c r="AM90" s="19">
        <v>0.49172030377573495</v>
      </c>
      <c r="AN90" s="49">
        <v>0.49172030377573495</v>
      </c>
    </row>
    <row r="91" spans="12:40" x14ac:dyDescent="0.35">
      <c r="L91" s="46"/>
      <c r="M91" s="47">
        <v>0.25000000000000006</v>
      </c>
      <c r="N91" s="46">
        <v>0.35387837245122705</v>
      </c>
      <c r="O91" s="46">
        <v>0.39969884862120253</v>
      </c>
      <c r="P91" s="48">
        <v>0.41868209990605293</v>
      </c>
      <c r="Q91" s="48">
        <v>0.43011479295066601</v>
      </c>
      <c r="R91" s="48">
        <v>0.44308472959213135</v>
      </c>
      <c r="S91" s="19">
        <v>0.45084265143508218</v>
      </c>
      <c r="T91" s="46">
        <v>0.45614538454613723</v>
      </c>
      <c r="U91" s="48">
        <v>0.46160156023460391</v>
      </c>
      <c r="V91" s="48">
        <v>0.46743622267296397</v>
      </c>
      <c r="W91" s="48">
        <v>0.47235649046708283</v>
      </c>
      <c r="X91" s="19">
        <v>0.47668658599171176</v>
      </c>
      <c r="Y91" s="48">
        <v>0.4805641884468605</v>
      </c>
      <c r="Z91" s="48">
        <v>0.48383945913933757</v>
      </c>
      <c r="AA91" s="48">
        <v>0.48641596091412292</v>
      </c>
      <c r="AB91" s="48">
        <v>0.48855002413967569</v>
      </c>
      <c r="AC91" s="48">
        <v>0.49029238337316572</v>
      </c>
      <c r="AD91" s="46">
        <v>0.49164853961354332</v>
      </c>
      <c r="AE91" s="48">
        <v>0.49266256905575562</v>
      </c>
      <c r="AF91" s="48">
        <v>0.49337306880264353</v>
      </c>
      <c r="AG91" s="48">
        <v>0.49392295147611903</v>
      </c>
      <c r="AH91" s="19">
        <v>0.49434336184959754</v>
      </c>
      <c r="AI91" s="48">
        <v>0.49468977081261278</v>
      </c>
      <c r="AJ91" s="48">
        <v>0.49498148325666791</v>
      </c>
      <c r="AK91" s="48">
        <v>0.49522613613604421</v>
      </c>
      <c r="AL91" s="48">
        <v>0.49545427806815107</v>
      </c>
      <c r="AM91" s="19">
        <v>0.49565295728763042</v>
      </c>
      <c r="AN91" s="49">
        <v>0.49565295728763042</v>
      </c>
    </row>
    <row r="92" spans="12:40" x14ac:dyDescent="0.35">
      <c r="L92" s="46">
        <f>M31</f>
        <v>0.5</v>
      </c>
      <c r="M92" s="47">
        <v>0.50000000000000022</v>
      </c>
      <c r="N92" s="46">
        <v>0.50030760723231338</v>
      </c>
      <c r="O92" s="46">
        <v>0.49991972525175576</v>
      </c>
      <c r="P92" s="48">
        <v>0.50007436985821851</v>
      </c>
      <c r="Q92" s="48">
        <v>0.49989665794733157</v>
      </c>
      <c r="R92" s="48">
        <v>0.49987537547225885</v>
      </c>
      <c r="S92" s="19">
        <v>0.49995667612086908</v>
      </c>
      <c r="T92" s="46">
        <v>0.49990113376227202</v>
      </c>
      <c r="U92" s="48">
        <v>0.4998699320902229</v>
      </c>
      <c r="V92" s="48">
        <v>0.49996781982630484</v>
      </c>
      <c r="W92" s="48">
        <v>0.49996319820508689</v>
      </c>
      <c r="X92" s="19">
        <v>0.500000881465128</v>
      </c>
      <c r="Y92" s="48">
        <v>0.49998591409299914</v>
      </c>
      <c r="Z92" s="48">
        <v>0.50000905242955984</v>
      </c>
      <c r="AA92" s="48">
        <v>0.50001201918981264</v>
      </c>
      <c r="AB92" s="48">
        <v>0.5000235833167509</v>
      </c>
      <c r="AC92" s="48">
        <v>0.50001204506984287</v>
      </c>
      <c r="AD92" s="46">
        <v>0.50001195846184132</v>
      </c>
      <c r="AE92" s="48">
        <v>0.50000873962653469</v>
      </c>
      <c r="AF92" s="48">
        <v>0.50001122710838897</v>
      </c>
      <c r="AG92" s="48">
        <v>0.50001516731327011</v>
      </c>
      <c r="AH92" s="19">
        <v>0.5000093066043293</v>
      </c>
      <c r="AI92" s="48">
        <v>0.50000600703224318</v>
      </c>
      <c r="AJ92" s="48">
        <v>0.50001075001214046</v>
      </c>
      <c r="AK92" s="48">
        <v>0.50001081697500549</v>
      </c>
      <c r="AL92" s="48">
        <v>0.50001899978967357</v>
      </c>
      <c r="AM92" s="19">
        <v>0.50001349832419384</v>
      </c>
      <c r="AN92" s="49">
        <v>0.50001349832419384</v>
      </c>
    </row>
    <row r="93" spans="12:40" x14ac:dyDescent="0.35">
      <c r="L93" s="46"/>
      <c r="M93" s="47">
        <v>0.75000000000000044</v>
      </c>
      <c r="N93" s="46">
        <v>0.64682790184206862</v>
      </c>
      <c r="O93" s="46">
        <v>0.600559531388698</v>
      </c>
      <c r="P93" s="48">
        <v>0.58113385198128176</v>
      </c>
      <c r="Q93" s="48">
        <v>0.56998201316975272</v>
      </c>
      <c r="R93" s="48">
        <v>0.55661955423499854</v>
      </c>
      <c r="S93" s="19">
        <v>0.54900449343802626</v>
      </c>
      <c r="T93" s="46">
        <v>0.54370963414482387</v>
      </c>
      <c r="U93" s="48">
        <v>0.53825824930210087</v>
      </c>
      <c r="V93" s="48">
        <v>0.53250850757999946</v>
      </c>
      <c r="W93" s="48">
        <v>0.52752632106788522</v>
      </c>
      <c r="X93" s="19">
        <v>0.52324420727203935</v>
      </c>
      <c r="Y93" s="48">
        <v>0.51943779814108992</v>
      </c>
      <c r="Z93" s="48">
        <v>0.51623859957011886</v>
      </c>
      <c r="AA93" s="48">
        <v>0.51367627440693808</v>
      </c>
      <c r="AB93" s="48">
        <v>0.51150706173350335</v>
      </c>
      <c r="AC93" s="48">
        <v>0.50975083621111528</v>
      </c>
      <c r="AD93" s="46">
        <v>0.50839454077724422</v>
      </c>
      <c r="AE93" s="48">
        <v>0.50735830449799035</v>
      </c>
      <c r="AF93" s="48">
        <v>0.50664399075379107</v>
      </c>
      <c r="AG93" s="48">
        <v>0.5061149937733127</v>
      </c>
      <c r="AH93" s="19">
        <v>0.50567087635194929</v>
      </c>
      <c r="AI93" s="48">
        <v>0.50532361318462882</v>
      </c>
      <c r="AJ93" s="48">
        <v>0.5050278734654764</v>
      </c>
      <c r="AK93" s="48">
        <v>0.50479039707497952</v>
      </c>
      <c r="AL93" s="48">
        <v>0.50456957677491832</v>
      </c>
      <c r="AM93" s="19">
        <v>0.50437731500103267</v>
      </c>
      <c r="AN93" s="49">
        <v>0.50437731500103267</v>
      </c>
    </row>
    <row r="94" spans="12:40" x14ac:dyDescent="0.35">
      <c r="L94" s="46"/>
      <c r="M94" s="47">
        <v>0.90000000000000058</v>
      </c>
      <c r="N94" s="46">
        <v>0.77658178901391839</v>
      </c>
      <c r="O94" s="46">
        <v>0.6882746623541669</v>
      </c>
      <c r="P94" s="48">
        <v>0.65244266288866615</v>
      </c>
      <c r="Q94" s="48">
        <v>0.63174264242490674</v>
      </c>
      <c r="R94" s="48">
        <v>0.60724023201299226</v>
      </c>
      <c r="S94" s="19">
        <v>0.59300456802684642</v>
      </c>
      <c r="T94" s="46">
        <v>0.58297117266166387</v>
      </c>
      <c r="U94" s="48">
        <v>0.57267635754957535</v>
      </c>
      <c r="V94" s="48">
        <v>0.56168401663096124</v>
      </c>
      <c r="W94" s="48">
        <v>0.55228094040552067</v>
      </c>
      <c r="X94" s="19">
        <v>0.54419627291520623</v>
      </c>
      <c r="Y94" s="48">
        <v>0.53698765586702468</v>
      </c>
      <c r="Z94" s="48">
        <v>0.53084344646369741</v>
      </c>
      <c r="AA94" s="48">
        <v>0.52592735872086038</v>
      </c>
      <c r="AB94" s="48">
        <v>0.52182570896451475</v>
      </c>
      <c r="AC94" s="48">
        <v>0.51849564810609494</v>
      </c>
      <c r="AD94" s="46">
        <v>0.5159194926322872</v>
      </c>
      <c r="AE94" s="48">
        <v>0.51398492420338093</v>
      </c>
      <c r="AF94" s="48">
        <v>0.51263041604953596</v>
      </c>
      <c r="AG94" s="48">
        <v>0.51159471334468887</v>
      </c>
      <c r="AH94" s="19">
        <v>0.51077396232321337</v>
      </c>
      <c r="AI94" s="48">
        <v>0.51010800048681493</v>
      </c>
      <c r="AJ94" s="48">
        <v>0.50955323557148291</v>
      </c>
      <c r="AK94" s="48">
        <v>0.50908309672952323</v>
      </c>
      <c r="AL94" s="48">
        <v>0.50865065993503744</v>
      </c>
      <c r="AM94" s="19">
        <v>0.5082831616409843</v>
      </c>
      <c r="AN94" s="49">
        <v>0.5082831616409843</v>
      </c>
    </row>
    <row r="95" spans="12:40" x14ac:dyDescent="0.35">
      <c r="L95" s="46"/>
      <c r="M95" s="47">
        <v>0.99000000000000066</v>
      </c>
      <c r="N95" s="46">
        <v>0.92932268973020959</v>
      </c>
      <c r="O95" s="46">
        <v>0.82453075295061729</v>
      </c>
      <c r="P95" s="48">
        <v>0.76800963359454244</v>
      </c>
      <c r="Q95" s="48">
        <v>0.73341690085130451</v>
      </c>
      <c r="R95" s="48">
        <v>0.69167976457097458</v>
      </c>
      <c r="S95" s="19">
        <v>0.66645819257819749</v>
      </c>
      <c r="T95" s="46">
        <v>0.64914682943141599</v>
      </c>
      <c r="U95" s="48">
        <v>0.63070472935999977</v>
      </c>
      <c r="V95" s="48">
        <v>0.61135974727435494</v>
      </c>
      <c r="W95" s="48">
        <v>0.59467604458571832</v>
      </c>
      <c r="X95" s="19">
        <v>0.58007601395273289</v>
      </c>
      <c r="Y95" s="48">
        <v>0.56714055306200251</v>
      </c>
      <c r="Z95" s="48">
        <v>0.55589964534761327</v>
      </c>
      <c r="AA95" s="48">
        <v>0.54701446959140387</v>
      </c>
      <c r="AB95" s="48">
        <v>0.53956953207102187</v>
      </c>
      <c r="AC95" s="48">
        <v>0.53356837611202645</v>
      </c>
      <c r="AD95" s="46">
        <v>0.52888951950107177</v>
      </c>
      <c r="AE95" s="48">
        <v>0.52536373314462881</v>
      </c>
      <c r="AF95" s="48">
        <v>0.52290393147624781</v>
      </c>
      <c r="AG95" s="48">
        <v>0.52103636109822671</v>
      </c>
      <c r="AH95" s="19">
        <v>0.51955025834267898</v>
      </c>
      <c r="AI95" s="48">
        <v>0.5183593233798568</v>
      </c>
      <c r="AJ95" s="48">
        <v>0.5173611224968826</v>
      </c>
      <c r="AK95" s="48">
        <v>0.51650778164910871</v>
      </c>
      <c r="AL95" s="48">
        <v>0.5157078650593977</v>
      </c>
      <c r="AM95" s="19">
        <v>0.51503465635358714</v>
      </c>
      <c r="AN95" s="49">
        <v>0.51503465635358714</v>
      </c>
    </row>
    <row r="96" spans="12:40" x14ac:dyDescent="0.35">
      <c r="L96" s="50"/>
      <c r="M96" s="51">
        <v>0.999</v>
      </c>
      <c r="N96" s="50">
        <v>0.97804919605890916</v>
      </c>
      <c r="O96" s="50">
        <v>0.90125959661619048</v>
      </c>
      <c r="P96" s="52">
        <v>0.84371197075953164</v>
      </c>
      <c r="Q96" s="52">
        <v>0.80277209518837866</v>
      </c>
      <c r="R96" s="52">
        <v>0.74943276510576906</v>
      </c>
      <c r="S96" s="30">
        <v>0.7179913335923398</v>
      </c>
      <c r="T96" s="50">
        <v>0.69564237025227482</v>
      </c>
      <c r="U96" s="52">
        <v>0.6729431648559302</v>
      </c>
      <c r="V96" s="52">
        <v>0.64729297040509226</v>
      </c>
      <c r="W96" s="52">
        <v>0.62469333280440098</v>
      </c>
      <c r="X96" s="30">
        <v>0.60579448674055603</v>
      </c>
      <c r="Y96" s="52">
        <v>0.588964734467738</v>
      </c>
      <c r="Z96" s="52">
        <v>0.57390212077531311</v>
      </c>
      <c r="AA96" s="52">
        <v>0.56205341003658393</v>
      </c>
      <c r="AB96" s="52">
        <v>0.5526462209156966</v>
      </c>
      <c r="AC96" s="52">
        <v>0.54444487087699556</v>
      </c>
      <c r="AD96" s="50">
        <v>0.53816978003645533</v>
      </c>
      <c r="AE96" s="52">
        <v>0.53367011770063522</v>
      </c>
      <c r="AF96" s="52">
        <v>0.53046820027721597</v>
      </c>
      <c r="AG96" s="52">
        <v>0.52796975414254166</v>
      </c>
      <c r="AH96" s="30">
        <v>0.52597204044324208</v>
      </c>
      <c r="AI96" s="52">
        <v>0.52442306338193923</v>
      </c>
      <c r="AJ96" s="52">
        <v>0.52297361102306794</v>
      </c>
      <c r="AK96" s="52">
        <v>0.52195341274950291</v>
      </c>
      <c r="AL96" s="52">
        <v>0.52094903970820572</v>
      </c>
      <c r="AM96" s="30">
        <v>0.52002776331312772</v>
      </c>
      <c r="AN96" s="53">
        <v>0.52002776331312772</v>
      </c>
    </row>
    <row r="97" spans="12:40" x14ac:dyDescent="0.35">
      <c r="L97" s="41"/>
      <c r="M97" s="42">
        <v>1E-3</v>
      </c>
      <c r="N97" s="41">
        <v>2.4379594120972473E-2</v>
      </c>
      <c r="O97" s="41">
        <v>0.10970280016238987</v>
      </c>
      <c r="P97" s="43">
        <v>0.17290628667694946</v>
      </c>
      <c r="Q97" s="43">
        <v>0.21793307474363069</v>
      </c>
      <c r="R97" s="43">
        <v>0.27321293811073466</v>
      </c>
      <c r="S97" s="44">
        <v>0.307167173964356</v>
      </c>
      <c r="T97" s="41">
        <v>0.33100023104813148</v>
      </c>
      <c r="U97" s="43">
        <v>0.3551467186741924</v>
      </c>
      <c r="V97" s="43">
        <v>0.382371081574712</v>
      </c>
      <c r="W97" s="43">
        <v>0.4050553606789063</v>
      </c>
      <c r="X97" s="44">
        <v>0.4254105722259745</v>
      </c>
      <c r="Y97" s="43">
        <v>0.44320472477784967</v>
      </c>
      <c r="Z97" s="43">
        <v>0.45793241905700044</v>
      </c>
      <c r="AA97" s="43">
        <v>0.47030897671657557</v>
      </c>
      <c r="AB97" s="43">
        <v>0.48006500214855102</v>
      </c>
      <c r="AC97" s="43">
        <v>0.48849624348439596</v>
      </c>
      <c r="AD97" s="41">
        <v>0.49458017588879061</v>
      </c>
      <c r="AE97" s="43">
        <v>0.49921780982337355</v>
      </c>
      <c r="AF97" s="43">
        <v>0.50252223164770071</v>
      </c>
      <c r="AG97" s="43">
        <v>0.50510380691856971</v>
      </c>
      <c r="AH97" s="44">
        <v>0.50703940009575565</v>
      </c>
      <c r="AI97" s="43">
        <v>0.50870385099584614</v>
      </c>
      <c r="AJ97" s="43">
        <v>0.51007149910969696</v>
      </c>
      <c r="AK97" s="43">
        <v>0.5112422212222818</v>
      </c>
      <c r="AL97" s="43">
        <v>0.51231972313722485</v>
      </c>
      <c r="AM97" s="44">
        <v>0.5132794633052471</v>
      </c>
      <c r="AN97" s="45">
        <v>0.5132794633052471</v>
      </c>
    </row>
    <row r="98" spans="12:40" x14ac:dyDescent="0.35">
      <c r="L98" s="46"/>
      <c r="M98" s="47">
        <v>0.01</v>
      </c>
      <c r="N98" s="46">
        <v>7.7485916000085808E-2</v>
      </c>
      <c r="O98" s="46">
        <v>0.19180802490823531</v>
      </c>
      <c r="P98" s="48">
        <v>0.25415740738155529</v>
      </c>
      <c r="Q98" s="48">
        <v>0.29104428352679135</v>
      </c>
      <c r="R98" s="48">
        <v>0.33502752240079142</v>
      </c>
      <c r="S98" s="19">
        <v>0.36194662011237611</v>
      </c>
      <c r="T98" s="46">
        <v>0.38026359181137237</v>
      </c>
      <c r="U98" s="48">
        <v>0.39882462803333574</v>
      </c>
      <c r="V98" s="48">
        <v>0.41960032176683665</v>
      </c>
      <c r="W98" s="48">
        <v>0.43699737407087907</v>
      </c>
      <c r="X98" s="19">
        <v>0.45194669246747937</v>
      </c>
      <c r="Y98" s="48">
        <v>0.46528831120211372</v>
      </c>
      <c r="Z98" s="48">
        <v>0.47669582022543677</v>
      </c>
      <c r="AA98" s="48">
        <v>0.48584146186572996</v>
      </c>
      <c r="AB98" s="48">
        <v>0.49344300354966797</v>
      </c>
      <c r="AC98" s="48">
        <v>0.49950405098949241</v>
      </c>
      <c r="AD98" s="46">
        <v>0.50416726661770339</v>
      </c>
      <c r="AE98" s="48">
        <v>0.50770092181589199</v>
      </c>
      <c r="AF98" s="48">
        <v>0.51021233371305152</v>
      </c>
      <c r="AG98" s="48">
        <v>0.51211884901182514</v>
      </c>
      <c r="AH98" s="19">
        <v>0.5135843562724266</v>
      </c>
      <c r="AI98" s="48">
        <v>0.51478928777813826</v>
      </c>
      <c r="AJ98" s="48">
        <v>0.51580891929681727</v>
      </c>
      <c r="AK98" s="48">
        <v>0.51665972216735923</v>
      </c>
      <c r="AL98" s="48">
        <v>0.51745874264950575</v>
      </c>
      <c r="AM98" s="19">
        <v>0.51817893509801971</v>
      </c>
      <c r="AN98" s="49">
        <v>0.51817893509801971</v>
      </c>
    </row>
    <row r="99" spans="12:40" x14ac:dyDescent="0.35">
      <c r="L99" s="46"/>
      <c r="M99" s="47">
        <v>9.9999999999999992E-2</v>
      </c>
      <c r="N99" s="46">
        <v>0.24469072687638027</v>
      </c>
      <c r="O99" s="46">
        <v>0.34123511424359693</v>
      </c>
      <c r="P99" s="48">
        <v>0.37776569092028917</v>
      </c>
      <c r="Q99" s="48">
        <v>0.39930719575693857</v>
      </c>
      <c r="R99" s="48">
        <v>0.42437054573355087</v>
      </c>
      <c r="S99" s="19">
        <v>0.43930460166086632</v>
      </c>
      <c r="T99" s="46">
        <v>0.44918992561210935</v>
      </c>
      <c r="U99" s="48">
        <v>0.4597474141823748</v>
      </c>
      <c r="V99" s="48">
        <v>0.47091334866064155</v>
      </c>
      <c r="W99" s="48">
        <v>0.48030600351558966</v>
      </c>
      <c r="X99" s="19">
        <v>0.48861286678667393</v>
      </c>
      <c r="Y99" s="48">
        <v>0.49592795772719456</v>
      </c>
      <c r="Z99" s="48">
        <v>0.50225328455906937</v>
      </c>
      <c r="AA99" s="48">
        <v>0.50727186471295116</v>
      </c>
      <c r="AB99" s="48">
        <v>0.51141061464427706</v>
      </c>
      <c r="AC99" s="48">
        <v>0.5147587670421796</v>
      </c>
      <c r="AD99" s="46">
        <v>0.51733004811984895</v>
      </c>
      <c r="AE99" s="48">
        <v>0.5192889766830121</v>
      </c>
      <c r="AF99" s="48">
        <v>0.52065336177696531</v>
      </c>
      <c r="AG99" s="48">
        <v>0.52168682799278787</v>
      </c>
      <c r="AH99" s="19">
        <v>0.52250664888709508</v>
      </c>
      <c r="AI99" s="48">
        <v>0.52314781440045743</v>
      </c>
      <c r="AJ99" s="48">
        <v>0.52371059817018817</v>
      </c>
      <c r="AK99" s="48">
        <v>0.52417907924693108</v>
      </c>
      <c r="AL99" s="48">
        <v>0.52462201161751776</v>
      </c>
      <c r="AM99" s="19">
        <v>0.52499854864258799</v>
      </c>
      <c r="AN99" s="49">
        <v>0.52499854864258799</v>
      </c>
    </row>
    <row r="100" spans="12:40" x14ac:dyDescent="0.35">
      <c r="L100" s="46"/>
      <c r="M100" s="47">
        <v>0.25000000000000006</v>
      </c>
      <c r="N100" s="46">
        <v>0.38776121239069211</v>
      </c>
      <c r="O100" s="46">
        <v>0.43369353750757123</v>
      </c>
      <c r="P100" s="48">
        <v>0.45275531529477436</v>
      </c>
      <c r="Q100" s="48">
        <v>0.46392664046937671</v>
      </c>
      <c r="R100" s="48">
        <v>0.47667469243856714</v>
      </c>
      <c r="S100" s="19">
        <v>0.48446837078448229</v>
      </c>
      <c r="T100" s="46">
        <v>0.48957021344472124</v>
      </c>
      <c r="U100" s="48">
        <v>0.49489575448682249</v>
      </c>
      <c r="V100" s="48">
        <v>0.50067457775016022</v>
      </c>
      <c r="W100" s="48">
        <v>0.50563835415752412</v>
      </c>
      <c r="X100" s="19">
        <v>0.5099737013425808</v>
      </c>
      <c r="Y100" s="48">
        <v>0.51375802383944469</v>
      </c>
      <c r="Z100" s="48">
        <v>0.51704727652069493</v>
      </c>
      <c r="AA100" s="48">
        <v>0.51968704587308623</v>
      </c>
      <c r="AB100" s="48">
        <v>0.52185390356805494</v>
      </c>
      <c r="AC100" s="48">
        <v>0.52358183771397482</v>
      </c>
      <c r="AD100" s="46">
        <v>0.52493980832883502</v>
      </c>
      <c r="AE100" s="48">
        <v>0.52596004790773254</v>
      </c>
      <c r="AF100" s="48">
        <v>0.5266784326927475</v>
      </c>
      <c r="AG100" s="48">
        <v>0.52722165834635859</v>
      </c>
      <c r="AH100" s="19">
        <v>0.52765678708033137</v>
      </c>
      <c r="AI100" s="48">
        <v>0.5280020760419788</v>
      </c>
      <c r="AJ100" s="48">
        <v>0.5282978234709369</v>
      </c>
      <c r="AK100" s="48">
        <v>0.52854791916468247</v>
      </c>
      <c r="AL100" s="48">
        <v>0.52877198423433502</v>
      </c>
      <c r="AM100" s="19">
        <v>0.52897070934533441</v>
      </c>
      <c r="AN100" s="49">
        <v>0.52897070934533441</v>
      </c>
    </row>
    <row r="101" spans="12:40" x14ac:dyDescent="0.35">
      <c r="L101" s="46">
        <f>M32</f>
        <v>0.6</v>
      </c>
      <c r="M101" s="47">
        <v>0.50000000000000022</v>
      </c>
      <c r="N101" s="46">
        <v>0.54817930308538831</v>
      </c>
      <c r="O101" s="46">
        <v>0.53761417114460186</v>
      </c>
      <c r="P101" s="48">
        <v>0.53591290223803223</v>
      </c>
      <c r="Q101" s="48">
        <v>0.53508156037458932</v>
      </c>
      <c r="R101" s="48">
        <v>0.5344904706035396</v>
      </c>
      <c r="S101" s="19">
        <v>0.5341041996686996</v>
      </c>
      <c r="T101" s="46">
        <v>0.53398313736979874</v>
      </c>
      <c r="U101" s="48">
        <v>0.53380120521245888</v>
      </c>
      <c r="V101" s="48">
        <v>0.53362554402916051</v>
      </c>
      <c r="W101" s="48">
        <v>0.53351816465771795</v>
      </c>
      <c r="X101" s="19">
        <v>0.53346473004881678</v>
      </c>
      <c r="Y101" s="48">
        <v>0.53345511503230603</v>
      </c>
      <c r="Z101" s="48">
        <v>0.53345907251203306</v>
      </c>
      <c r="AA101" s="48">
        <v>0.53340317557635031</v>
      </c>
      <c r="AB101" s="48">
        <v>0.5333907877965447</v>
      </c>
      <c r="AC101" s="48">
        <v>0.53337361639212932</v>
      </c>
      <c r="AD101" s="46">
        <v>0.53338225876589596</v>
      </c>
      <c r="AE101" s="48">
        <v>0.53337400335265217</v>
      </c>
      <c r="AF101" s="48">
        <v>0.533361677389661</v>
      </c>
      <c r="AG101" s="48">
        <v>0.53335818372162036</v>
      </c>
      <c r="AH101" s="19">
        <v>0.53334275314971036</v>
      </c>
      <c r="AI101" s="48">
        <v>0.53335078963250115</v>
      </c>
      <c r="AJ101" s="48">
        <v>0.53334535822616658</v>
      </c>
      <c r="AK101" s="48">
        <v>0.53335034537704806</v>
      </c>
      <c r="AL101" s="48">
        <v>0.53335302248736716</v>
      </c>
      <c r="AM101" s="19">
        <v>0.53335201901880136</v>
      </c>
      <c r="AN101" s="49">
        <v>0.53335201901880136</v>
      </c>
    </row>
    <row r="102" spans="12:40" x14ac:dyDescent="0.35">
      <c r="L102" s="46"/>
      <c r="M102" s="47">
        <v>0.75000000000000044</v>
      </c>
      <c r="N102" s="46">
        <v>0.6842828498011585</v>
      </c>
      <c r="O102" s="46">
        <v>0.63730408469137867</v>
      </c>
      <c r="P102" s="48">
        <v>0.61669335916260959</v>
      </c>
      <c r="Q102" s="48">
        <v>0.6046544515925999</v>
      </c>
      <c r="R102" s="48">
        <v>0.59113362322182339</v>
      </c>
      <c r="S102" s="19">
        <v>0.58322112011161287</v>
      </c>
      <c r="T102" s="46">
        <v>0.57771452915252353</v>
      </c>
      <c r="U102" s="48">
        <v>0.57213886600523323</v>
      </c>
      <c r="V102" s="48">
        <v>0.56633285245950538</v>
      </c>
      <c r="W102" s="48">
        <v>0.56123053529896982</v>
      </c>
      <c r="X102" s="19">
        <v>0.55687676085718996</v>
      </c>
      <c r="Y102" s="48">
        <v>0.55297458948501144</v>
      </c>
      <c r="Z102" s="48">
        <v>0.54971069373205683</v>
      </c>
      <c r="AA102" s="48">
        <v>0.54709612152059239</v>
      </c>
      <c r="AB102" s="48">
        <v>0.54492534851616181</v>
      </c>
      <c r="AC102" s="48">
        <v>0.54317286237808804</v>
      </c>
      <c r="AD102" s="46">
        <v>0.54181259927069036</v>
      </c>
      <c r="AE102" s="48">
        <v>0.54077619710534297</v>
      </c>
      <c r="AF102" s="48">
        <v>0.54002885953996171</v>
      </c>
      <c r="AG102" s="48">
        <v>0.5394837410581762</v>
      </c>
      <c r="AH102" s="19">
        <v>0.53904489377746989</v>
      </c>
      <c r="AI102" s="48">
        <v>0.53869005312069962</v>
      </c>
      <c r="AJ102" s="48">
        <v>0.53839653012021627</v>
      </c>
      <c r="AK102" s="48">
        <v>0.53815350541744633</v>
      </c>
      <c r="AL102" s="48">
        <v>0.53792517874354706</v>
      </c>
      <c r="AM102" s="19">
        <v>0.53772742724137101</v>
      </c>
      <c r="AN102" s="49">
        <v>0.53772742724137101</v>
      </c>
    </row>
    <row r="103" spans="12:40" x14ac:dyDescent="0.35">
      <c r="L103" s="46"/>
      <c r="M103" s="47">
        <v>0.90000000000000058</v>
      </c>
      <c r="N103" s="46">
        <v>0.79997964853198955</v>
      </c>
      <c r="O103" s="46">
        <v>0.72014085895960878</v>
      </c>
      <c r="P103" s="48">
        <v>0.68539540263418153</v>
      </c>
      <c r="Q103" s="48">
        <v>0.66500518931317198</v>
      </c>
      <c r="R103" s="48">
        <v>0.64055429261159447</v>
      </c>
      <c r="S103" s="19">
        <v>0.62619991789778373</v>
      </c>
      <c r="T103" s="46">
        <v>0.6163102745080371</v>
      </c>
      <c r="U103" s="48">
        <v>0.60623659730955926</v>
      </c>
      <c r="V103" s="48">
        <v>0.59528779833933354</v>
      </c>
      <c r="W103" s="48">
        <v>0.58591937409787187</v>
      </c>
      <c r="X103" s="19">
        <v>0.57772223320394567</v>
      </c>
      <c r="Y103" s="48">
        <v>0.57047436514591709</v>
      </c>
      <c r="Z103" s="48">
        <v>0.5642999932273941</v>
      </c>
      <c r="AA103" s="48">
        <v>0.5593686645672602</v>
      </c>
      <c r="AB103" s="48">
        <v>0.55526448439026987</v>
      </c>
      <c r="AC103" s="48">
        <v>0.55193114159817047</v>
      </c>
      <c r="AD103" s="46">
        <v>0.54933986024620274</v>
      </c>
      <c r="AE103" s="48">
        <v>0.54740811975548542</v>
      </c>
      <c r="AF103" s="48">
        <v>0.54602267420686756</v>
      </c>
      <c r="AG103" s="48">
        <v>0.54499714580858072</v>
      </c>
      <c r="AH103" s="19">
        <v>0.54416864145586363</v>
      </c>
      <c r="AI103" s="48">
        <v>0.54351438979656752</v>
      </c>
      <c r="AJ103" s="48">
        <v>0.54294089237188781</v>
      </c>
      <c r="AK103" s="48">
        <v>0.54247926782742617</v>
      </c>
      <c r="AL103" s="48">
        <v>0.54205177558494877</v>
      </c>
      <c r="AM103" s="19">
        <v>0.54165978542765902</v>
      </c>
      <c r="AN103" s="49">
        <v>0.54165978542765902</v>
      </c>
    </row>
    <row r="104" spans="12:40" x14ac:dyDescent="0.35">
      <c r="L104" s="46"/>
      <c r="M104" s="47">
        <v>0.99000000000000066</v>
      </c>
      <c r="N104" s="46">
        <v>0.93694061038846221</v>
      </c>
      <c r="O104" s="46">
        <v>0.84365902984772889</v>
      </c>
      <c r="P104" s="48">
        <v>0.79291510343963512</v>
      </c>
      <c r="Q104" s="48">
        <v>0.76002522714609766</v>
      </c>
      <c r="R104" s="48">
        <v>0.72106764051942773</v>
      </c>
      <c r="S104" s="19">
        <v>0.69718700218817309</v>
      </c>
      <c r="T104" s="46">
        <v>0.68046931728855475</v>
      </c>
      <c r="U104" s="48">
        <v>0.66269516160318642</v>
      </c>
      <c r="V104" s="48">
        <v>0.64397240351236928</v>
      </c>
      <c r="W104" s="48">
        <v>0.62739422300972625</v>
      </c>
      <c r="X104" s="19">
        <v>0.61295921570044098</v>
      </c>
      <c r="Y104" s="48">
        <v>0.60016358214342391</v>
      </c>
      <c r="Z104" s="48">
        <v>0.58918387065681854</v>
      </c>
      <c r="AA104" s="48">
        <v>0.5803783878287142</v>
      </c>
      <c r="AB104" s="48">
        <v>0.57286758635899515</v>
      </c>
      <c r="AC104" s="48">
        <v>0.56699557925247368</v>
      </c>
      <c r="AD104" s="46">
        <v>0.56231438630078745</v>
      </c>
      <c r="AE104" s="48">
        <v>0.55881026344113149</v>
      </c>
      <c r="AF104" s="48">
        <v>0.55629126569933118</v>
      </c>
      <c r="AG104" s="48">
        <v>0.55447014493094282</v>
      </c>
      <c r="AH104" s="19">
        <v>0.55296648848036001</v>
      </c>
      <c r="AI104" s="48">
        <v>0.55172751121657992</v>
      </c>
      <c r="AJ104" s="48">
        <v>0.55075569312074879</v>
      </c>
      <c r="AK104" s="48">
        <v>0.54987365827482315</v>
      </c>
      <c r="AL104" s="48">
        <v>0.54913566920244328</v>
      </c>
      <c r="AM104" s="19">
        <v>0.54844375375505627</v>
      </c>
      <c r="AN104" s="49">
        <v>0.54844375375505627</v>
      </c>
    </row>
    <row r="105" spans="12:40" x14ac:dyDescent="0.35">
      <c r="L105" s="50"/>
      <c r="M105" s="51">
        <v>0.999</v>
      </c>
      <c r="N105" s="50">
        <v>0.97970033473080598</v>
      </c>
      <c r="O105" s="50">
        <v>0.91218015107432626</v>
      </c>
      <c r="P105" s="52">
        <v>0.85942750635418375</v>
      </c>
      <c r="Q105" s="52">
        <v>0.82198338296516393</v>
      </c>
      <c r="R105" s="52">
        <v>0.77629408155106594</v>
      </c>
      <c r="S105" s="30">
        <v>0.74645448960038741</v>
      </c>
      <c r="T105" s="50">
        <v>0.72556470376205651</v>
      </c>
      <c r="U105" s="52">
        <v>0.70284524867439491</v>
      </c>
      <c r="V105" s="52">
        <v>0.67861910177113094</v>
      </c>
      <c r="W105" s="52">
        <v>0.65722777856583692</v>
      </c>
      <c r="X105" s="30">
        <v>0.63883600083947578</v>
      </c>
      <c r="Y105" s="52">
        <v>0.62149717992714959</v>
      </c>
      <c r="Z105" s="52">
        <v>0.60719519092257312</v>
      </c>
      <c r="AA105" s="52">
        <v>0.59558411689997526</v>
      </c>
      <c r="AB105" s="52">
        <v>0.5856691951779881</v>
      </c>
      <c r="AC105" s="52">
        <v>0.57767541894630425</v>
      </c>
      <c r="AD105" s="50">
        <v>0.57175402727605562</v>
      </c>
      <c r="AE105" s="52">
        <v>0.56694397954869891</v>
      </c>
      <c r="AF105" s="52">
        <v>0.5637173917042162</v>
      </c>
      <c r="AG105" s="52">
        <v>0.56119804748365443</v>
      </c>
      <c r="AH105" s="30">
        <v>0.55938069558073256</v>
      </c>
      <c r="AI105" s="52">
        <v>0.5578004151492354</v>
      </c>
      <c r="AJ105" s="52">
        <v>0.55644540113916152</v>
      </c>
      <c r="AK105" s="52">
        <v>0.55531813988870338</v>
      </c>
      <c r="AL105" s="52">
        <v>0.5542873090169288</v>
      </c>
      <c r="AM105" s="30">
        <v>0.55339614968730422</v>
      </c>
      <c r="AN105" s="53">
        <v>0.55339614968730422</v>
      </c>
    </row>
    <row r="106" spans="12:40" x14ac:dyDescent="0.35">
      <c r="L106" s="41"/>
      <c r="M106" s="42">
        <v>1E-3</v>
      </c>
      <c r="N106" s="41">
        <v>2.6332971305075215E-2</v>
      </c>
      <c r="O106" s="41">
        <v>0.11849256695695072</v>
      </c>
      <c r="P106" s="43">
        <v>0.18676013484631385</v>
      </c>
      <c r="Q106" s="43">
        <v>0.23539462450336823</v>
      </c>
      <c r="R106" s="43">
        <v>0.29477365550243945</v>
      </c>
      <c r="S106" s="44">
        <v>0.33103899943021747</v>
      </c>
      <c r="T106" s="41">
        <v>0.35611867293315258</v>
      </c>
      <c r="U106" s="43">
        <v>0.38183186590067764</v>
      </c>
      <c r="V106" s="43">
        <v>0.40999170507984156</v>
      </c>
      <c r="W106" s="43">
        <v>0.43389846854383329</v>
      </c>
      <c r="X106" s="44">
        <v>0.45537355415702396</v>
      </c>
      <c r="Y106" s="43">
        <v>0.47381835265941236</v>
      </c>
      <c r="Z106" s="43">
        <v>0.4892061433283374</v>
      </c>
      <c r="AA106" s="43">
        <v>0.50189215284223632</v>
      </c>
      <c r="AB106" s="43">
        <v>0.51211553795223286</v>
      </c>
      <c r="AC106" s="43">
        <v>0.52067004873437472</v>
      </c>
      <c r="AD106" s="41">
        <v>0.52685945440342707</v>
      </c>
      <c r="AE106" s="43">
        <v>0.53173985525727152</v>
      </c>
      <c r="AF106" s="43">
        <v>0.53512082087288682</v>
      </c>
      <c r="AG106" s="43">
        <v>0.53780216707193829</v>
      </c>
      <c r="AH106" s="44">
        <v>0.53975013636524849</v>
      </c>
      <c r="AI106" s="43">
        <v>0.54149949150181675</v>
      </c>
      <c r="AJ106" s="43">
        <v>0.54287467166492254</v>
      </c>
      <c r="AK106" s="43">
        <v>0.54409108823344943</v>
      </c>
      <c r="AL106" s="43">
        <v>0.54522830511097087</v>
      </c>
      <c r="AM106" s="44">
        <v>0.546179230977893</v>
      </c>
      <c r="AN106" s="45">
        <v>0.546179230977893</v>
      </c>
    </row>
    <row r="107" spans="12:40" x14ac:dyDescent="0.35">
      <c r="L107" s="46"/>
      <c r="M107" s="47">
        <v>0.01</v>
      </c>
      <c r="N107" s="46">
        <v>8.3694354895861467E-2</v>
      </c>
      <c r="O107" s="46">
        <v>0.20717634555067155</v>
      </c>
      <c r="P107" s="48">
        <v>0.27451036182561905</v>
      </c>
      <c r="Q107" s="48">
        <v>0.3139478948224072</v>
      </c>
      <c r="R107" s="48">
        <v>0.36063635981293696</v>
      </c>
      <c r="S107" s="19">
        <v>0.38916367736509833</v>
      </c>
      <c r="T107" s="46">
        <v>0.40823652309174158</v>
      </c>
      <c r="U107" s="48">
        <v>0.42763157982719135</v>
      </c>
      <c r="V107" s="48">
        <v>0.44933924172544387</v>
      </c>
      <c r="W107" s="48">
        <v>0.46740248862575884</v>
      </c>
      <c r="X107" s="19">
        <v>0.48292774122478405</v>
      </c>
      <c r="Y107" s="48">
        <v>0.49672503723295264</v>
      </c>
      <c r="Z107" s="48">
        <v>0.50855711319656183</v>
      </c>
      <c r="AA107" s="48">
        <v>0.51802974876012675</v>
      </c>
      <c r="AB107" s="48">
        <v>0.52579092465751831</v>
      </c>
      <c r="AC107" s="48">
        <v>0.5320700201817371</v>
      </c>
      <c r="AD107" s="46">
        <v>0.5368540840740551</v>
      </c>
      <c r="AE107" s="48">
        <v>0.54046746197845674</v>
      </c>
      <c r="AF107" s="48">
        <v>0.54303940890196045</v>
      </c>
      <c r="AG107" s="48">
        <v>0.54498148807253644</v>
      </c>
      <c r="AH107" s="19">
        <v>0.54648021368034305</v>
      </c>
      <c r="AI107" s="48">
        <v>0.54771316824095362</v>
      </c>
      <c r="AJ107" s="48">
        <v>0.54877804217711512</v>
      </c>
      <c r="AK107" s="48">
        <v>0.54963161868124732</v>
      </c>
      <c r="AL107" s="48">
        <v>0.55045998931294249</v>
      </c>
      <c r="AM107" s="19">
        <v>0.55118680296165723</v>
      </c>
      <c r="AN107" s="49">
        <v>0.55118680296165723</v>
      </c>
    </row>
    <row r="108" spans="12:40" x14ac:dyDescent="0.35">
      <c r="L108" s="46"/>
      <c r="M108" s="47">
        <v>9.9999999999999992E-2</v>
      </c>
      <c r="N108" s="46">
        <v>0.26429619203179328</v>
      </c>
      <c r="O108" s="46">
        <v>0.36846752876437427</v>
      </c>
      <c r="P108" s="48">
        <v>0.40637049262954167</v>
      </c>
      <c r="Q108" s="48">
        <v>0.4288619203322549</v>
      </c>
      <c r="R108" s="48">
        <v>0.45486631952333378</v>
      </c>
      <c r="S108" s="19">
        <v>0.47026367446940437</v>
      </c>
      <c r="T108" s="46">
        <v>0.48050849363780468</v>
      </c>
      <c r="U108" s="48">
        <v>0.49136425510871889</v>
      </c>
      <c r="V108" s="48">
        <v>0.50278619360154109</v>
      </c>
      <c r="W108" s="48">
        <v>0.51244110619088656</v>
      </c>
      <c r="X108" s="19">
        <v>0.520976917353969</v>
      </c>
      <c r="Y108" s="48">
        <v>0.52842574335783898</v>
      </c>
      <c r="Z108" s="48">
        <v>0.53493455707408499</v>
      </c>
      <c r="AA108" s="48">
        <v>0.54006045855473528</v>
      </c>
      <c r="AB108" s="48">
        <v>0.5442955254903471</v>
      </c>
      <c r="AC108" s="48">
        <v>0.54770401903448962</v>
      </c>
      <c r="AD108" s="46">
        <v>0.5503371573389837</v>
      </c>
      <c r="AE108" s="48">
        <v>0.5523427258389596</v>
      </c>
      <c r="AF108" s="48">
        <v>0.55373074262981703</v>
      </c>
      <c r="AG108" s="48">
        <v>0.55478289741404829</v>
      </c>
      <c r="AH108" s="19">
        <v>0.55561786488690346</v>
      </c>
      <c r="AI108" s="48">
        <v>0.55628165147985453</v>
      </c>
      <c r="AJ108" s="48">
        <v>0.55684579033509363</v>
      </c>
      <c r="AK108" s="48">
        <v>0.55733310018553539</v>
      </c>
      <c r="AL108" s="48">
        <v>0.55778639359734183</v>
      </c>
      <c r="AM108" s="19">
        <v>0.55816830882801172</v>
      </c>
      <c r="AN108" s="49">
        <v>0.55816830882801172</v>
      </c>
    </row>
    <row r="109" spans="12:40" x14ac:dyDescent="0.35">
      <c r="L109" s="46"/>
      <c r="M109" s="47">
        <v>0.25000000000000006</v>
      </c>
      <c r="N109" s="46">
        <v>0.41882997840072217</v>
      </c>
      <c r="O109" s="46">
        <v>0.46600277987553723</v>
      </c>
      <c r="P109" s="48">
        <v>0.48531655147553965</v>
      </c>
      <c r="Q109" s="48">
        <v>0.49656496238310488</v>
      </c>
      <c r="R109" s="48">
        <v>0.50928799356017751</v>
      </c>
      <c r="S109" s="19">
        <v>0.51716607934158709</v>
      </c>
      <c r="T109" s="46">
        <v>0.52230060817177626</v>
      </c>
      <c r="U109" s="48">
        <v>0.52766722142139533</v>
      </c>
      <c r="V109" s="48">
        <v>0.53355847360651742</v>
      </c>
      <c r="W109" s="48">
        <v>0.53855232838355283</v>
      </c>
      <c r="X109" s="19">
        <v>0.54293677232418613</v>
      </c>
      <c r="Y109" s="48">
        <v>0.54677305242990304</v>
      </c>
      <c r="Z109" s="48">
        <v>0.55010080256341565</v>
      </c>
      <c r="AA109" s="48">
        <v>0.5527920747769085</v>
      </c>
      <c r="AB109" s="48">
        <v>0.55497142851330861</v>
      </c>
      <c r="AC109" s="48">
        <v>0.55674080646881929</v>
      </c>
      <c r="AD109" s="46">
        <v>0.55811591032883012</v>
      </c>
      <c r="AE109" s="48">
        <v>0.55915533586648669</v>
      </c>
      <c r="AF109" s="48">
        <v>0.55988553265303087</v>
      </c>
      <c r="AG109" s="48">
        <v>0.56044517546506156</v>
      </c>
      <c r="AH109" s="19">
        <v>0.56088194351604204</v>
      </c>
      <c r="AI109" s="48">
        <v>0.56123634159305469</v>
      </c>
      <c r="AJ109" s="48">
        <v>0.56154106520365121</v>
      </c>
      <c r="AK109" s="48">
        <v>0.56178977334390523</v>
      </c>
      <c r="AL109" s="48">
        <v>0.56202223830275888</v>
      </c>
      <c r="AM109" s="19">
        <v>0.56222072952298241</v>
      </c>
      <c r="AN109" s="49">
        <v>0.56222072952298241</v>
      </c>
    </row>
    <row r="110" spans="12:40" x14ac:dyDescent="0.35">
      <c r="L110" s="46">
        <f>M33</f>
        <v>0.70000000000000007</v>
      </c>
      <c r="M110" s="47">
        <v>0.50000000000000022</v>
      </c>
      <c r="N110" s="46">
        <v>0.59210131992172221</v>
      </c>
      <c r="O110" s="46">
        <v>0.57426351301165413</v>
      </c>
      <c r="P110" s="48">
        <v>0.57137442022896878</v>
      </c>
      <c r="Q110" s="48">
        <v>0.57004149439064355</v>
      </c>
      <c r="R110" s="48">
        <v>0.56879076010935981</v>
      </c>
      <c r="S110" s="19">
        <v>0.56818676661002931</v>
      </c>
      <c r="T110" s="46">
        <v>0.56790912123446669</v>
      </c>
      <c r="U110" s="48">
        <v>0.5676175494714556</v>
      </c>
      <c r="V110" s="48">
        <v>0.56726137110280006</v>
      </c>
      <c r="W110" s="48">
        <v>0.56708342688486713</v>
      </c>
      <c r="X110" s="19">
        <v>0.56697527828619465</v>
      </c>
      <c r="Y110" s="48">
        <v>0.56692144187235383</v>
      </c>
      <c r="Z110" s="48">
        <v>0.5668772833980259</v>
      </c>
      <c r="AA110" s="48">
        <v>0.56679142964650597</v>
      </c>
      <c r="AB110" s="48">
        <v>0.56676923916475508</v>
      </c>
      <c r="AC110" s="48">
        <v>0.56674486718526984</v>
      </c>
      <c r="AD110" s="46">
        <v>0.56674366895664874</v>
      </c>
      <c r="AE110" s="48">
        <v>0.56672990656967226</v>
      </c>
      <c r="AF110" s="48">
        <v>0.56670700977073141</v>
      </c>
      <c r="AG110" s="48">
        <v>0.56670189329027909</v>
      </c>
      <c r="AH110" s="19">
        <v>0.56668980653353551</v>
      </c>
      <c r="AI110" s="48">
        <v>0.56669149681524933</v>
      </c>
      <c r="AJ110" s="48">
        <v>0.56668659604075655</v>
      </c>
      <c r="AK110" s="48">
        <v>0.56669502004144179</v>
      </c>
      <c r="AL110" s="48">
        <v>0.56669301833549424</v>
      </c>
      <c r="AM110" s="19">
        <v>0.56669016804510008</v>
      </c>
      <c r="AN110" s="49">
        <v>0.56669016804510008</v>
      </c>
    </row>
    <row r="111" spans="12:40" x14ac:dyDescent="0.35">
      <c r="L111" s="46"/>
      <c r="M111" s="47">
        <v>0.75000000000000044</v>
      </c>
      <c r="N111" s="46">
        <v>0.72658092751737591</v>
      </c>
      <c r="O111" s="46">
        <v>0.67569025171244579</v>
      </c>
      <c r="P111" s="48">
        <v>0.65319952108560286</v>
      </c>
      <c r="Q111" s="48">
        <v>0.64053272687566609</v>
      </c>
      <c r="R111" s="48">
        <v>0.62623457250795822</v>
      </c>
      <c r="S111" s="19">
        <v>0.61794330376658813</v>
      </c>
      <c r="T111" s="46">
        <v>0.61227925753421264</v>
      </c>
      <c r="U111" s="48">
        <v>0.60655600425352363</v>
      </c>
      <c r="V111" s="48">
        <v>0.60050961696179428</v>
      </c>
      <c r="W111" s="48">
        <v>0.59524296430174739</v>
      </c>
      <c r="X111" s="19">
        <v>0.59076971105538267</v>
      </c>
      <c r="Y111" s="48">
        <v>0.5867636791083144</v>
      </c>
      <c r="Z111" s="48">
        <v>0.5834181636510416</v>
      </c>
      <c r="AA111" s="48">
        <v>0.58073566274390886</v>
      </c>
      <c r="AB111" s="48">
        <v>0.5785151683488573</v>
      </c>
      <c r="AC111" s="48">
        <v>0.57672017050501534</v>
      </c>
      <c r="AD111" s="46">
        <v>0.57531986640917387</v>
      </c>
      <c r="AE111" s="48">
        <v>0.57426719214823063</v>
      </c>
      <c r="AF111" s="48">
        <v>0.57350522132881487</v>
      </c>
      <c r="AG111" s="48">
        <v>0.57294883600764446</v>
      </c>
      <c r="AH111" s="19">
        <v>0.5724970785808432</v>
      </c>
      <c r="AI111" s="48">
        <v>0.57213770415413867</v>
      </c>
      <c r="AJ111" s="48">
        <v>0.57183591418512014</v>
      </c>
      <c r="AK111" s="48">
        <v>0.5715810894866562</v>
      </c>
      <c r="AL111" s="48">
        <v>0.57135090688887658</v>
      </c>
      <c r="AM111" s="19">
        <v>0.57114727502502183</v>
      </c>
      <c r="AN111" s="49">
        <v>0.57114727502502183</v>
      </c>
    </row>
    <row r="112" spans="12:40" x14ac:dyDescent="0.35">
      <c r="L112" s="46"/>
      <c r="M112" s="47">
        <v>0.90000000000000058</v>
      </c>
      <c r="N112" s="46">
        <v>0.82677729435481084</v>
      </c>
      <c r="O112" s="46">
        <v>0.75486840551337853</v>
      </c>
      <c r="P112" s="48">
        <v>0.72068439941884077</v>
      </c>
      <c r="Q112" s="48">
        <v>0.70002569806095383</v>
      </c>
      <c r="R112" s="48">
        <v>0.67540962872950527</v>
      </c>
      <c r="S112" s="19">
        <v>0.66090322209066277</v>
      </c>
      <c r="T112" s="46">
        <v>0.65089935920791475</v>
      </c>
      <c r="U112" s="48">
        <v>0.64075837807241232</v>
      </c>
      <c r="V112" s="48">
        <v>0.62961517414501555</v>
      </c>
      <c r="W112" s="48">
        <v>0.62010368818432193</v>
      </c>
      <c r="X112" s="19">
        <v>0.61179203829880147</v>
      </c>
      <c r="Y112" s="48">
        <v>0.60444497006383069</v>
      </c>
      <c r="Z112" s="48">
        <v>0.59818801739870031</v>
      </c>
      <c r="AA112" s="48">
        <v>0.59317721300978887</v>
      </c>
      <c r="AB112" s="48">
        <v>0.58898342629944223</v>
      </c>
      <c r="AC112" s="48">
        <v>0.58561960541827429</v>
      </c>
      <c r="AD112" s="46">
        <v>0.58297714082781549</v>
      </c>
      <c r="AE112" s="48">
        <v>0.58100592795615036</v>
      </c>
      <c r="AF112" s="48">
        <v>0.5795985838056853</v>
      </c>
      <c r="AG112" s="48">
        <v>0.57855453784020927</v>
      </c>
      <c r="AH112" s="19">
        <v>0.57771171689456713</v>
      </c>
      <c r="AI112" s="48">
        <v>0.57704676194234428</v>
      </c>
      <c r="AJ112" s="48">
        <v>0.5764511563360456</v>
      </c>
      <c r="AK112" s="48">
        <v>0.57598449355834891</v>
      </c>
      <c r="AL112" s="48">
        <v>0.57554914567520088</v>
      </c>
      <c r="AM112" s="19">
        <v>0.5751521493463102</v>
      </c>
      <c r="AN112" s="49">
        <v>0.5751521493463102</v>
      </c>
    </row>
    <row r="113" spans="12:40" x14ac:dyDescent="0.35">
      <c r="L113" s="46"/>
      <c r="M113" s="47">
        <v>0.99000000000000066</v>
      </c>
      <c r="N113" s="46">
        <v>0.94538896664926764</v>
      </c>
      <c r="O113" s="46">
        <v>0.86460474819582855</v>
      </c>
      <c r="P113" s="48">
        <v>0.81991916054704916</v>
      </c>
      <c r="Q113" s="48">
        <v>0.78987824213910118</v>
      </c>
      <c r="R113" s="48">
        <v>0.7530853586060704</v>
      </c>
      <c r="S113" s="19">
        <v>0.73008855424432895</v>
      </c>
      <c r="T113" s="46">
        <v>0.71374815920430623</v>
      </c>
      <c r="U113" s="48">
        <v>0.69632952629581346</v>
      </c>
      <c r="V113" s="48">
        <v>0.67779835781780751</v>
      </c>
      <c r="W113" s="48">
        <v>0.66150038268719313</v>
      </c>
      <c r="X113" s="19">
        <v>0.64717995965512487</v>
      </c>
      <c r="Y113" s="48">
        <v>0.63424410544700383</v>
      </c>
      <c r="Z113" s="48">
        <v>0.62323059965853855</v>
      </c>
      <c r="AA113" s="48">
        <v>0.61437615918315092</v>
      </c>
      <c r="AB113" s="48">
        <v>0.60681623062093848</v>
      </c>
      <c r="AC113" s="48">
        <v>0.60085017755404768</v>
      </c>
      <c r="AD113" s="46">
        <v>0.59610488298488828</v>
      </c>
      <c r="AE113" s="48">
        <v>0.59257048722313987</v>
      </c>
      <c r="AF113" s="48">
        <v>0.59002147036877606</v>
      </c>
      <c r="AG113" s="48">
        <v>0.5881688028146913</v>
      </c>
      <c r="AH113" s="19">
        <v>0.58665201565057234</v>
      </c>
      <c r="AI113" s="48">
        <v>0.58540998887212914</v>
      </c>
      <c r="AJ113" s="48">
        <v>0.58440214911668575</v>
      </c>
      <c r="AK113" s="48">
        <v>0.58350091195083809</v>
      </c>
      <c r="AL113" s="48">
        <v>0.58274691993531125</v>
      </c>
      <c r="AM113" s="19">
        <v>0.582040736978504</v>
      </c>
      <c r="AN113" s="49">
        <v>0.582040736978504</v>
      </c>
    </row>
    <row r="114" spans="12:40" x14ac:dyDescent="0.35">
      <c r="L114" s="50"/>
      <c r="M114" s="51">
        <v>0.999</v>
      </c>
      <c r="N114" s="50">
        <v>0.9824199741885572</v>
      </c>
      <c r="O114" s="50">
        <v>0.92394577987385496</v>
      </c>
      <c r="P114" s="52">
        <v>0.87826064942939652</v>
      </c>
      <c r="Q114" s="52">
        <v>0.8453772643035109</v>
      </c>
      <c r="R114" s="52">
        <v>0.80449652449774434</v>
      </c>
      <c r="S114" s="30">
        <v>0.7763732914803031</v>
      </c>
      <c r="T114" s="50">
        <v>0.75684231412226699</v>
      </c>
      <c r="U114" s="52">
        <v>0.73554757859921704</v>
      </c>
      <c r="V114" s="52">
        <v>0.71177319432125341</v>
      </c>
      <c r="W114" s="52">
        <v>0.69095979517584649</v>
      </c>
      <c r="X114" s="30">
        <v>0.67255207683940399</v>
      </c>
      <c r="Y114" s="52">
        <v>0.65565000707607912</v>
      </c>
      <c r="Z114" s="52">
        <v>0.64133168177684552</v>
      </c>
      <c r="AA114" s="52">
        <v>0.62960441725924943</v>
      </c>
      <c r="AB114" s="52">
        <v>0.61966218251473881</v>
      </c>
      <c r="AC114" s="52">
        <v>0.61160072617855832</v>
      </c>
      <c r="AD114" s="50">
        <v>0.60566660356672397</v>
      </c>
      <c r="AE114" s="52">
        <v>0.60081365485674487</v>
      </c>
      <c r="AF114" s="52">
        <v>0.59751973761323829</v>
      </c>
      <c r="AG114" s="52">
        <v>0.59495632673963028</v>
      </c>
      <c r="AH114" s="30">
        <v>0.59310958371518163</v>
      </c>
      <c r="AI114" s="52">
        <v>0.59155369108223599</v>
      </c>
      <c r="AJ114" s="52">
        <v>0.59018116064499393</v>
      </c>
      <c r="AK114" s="52">
        <v>0.58898534702774819</v>
      </c>
      <c r="AL114" s="52">
        <v>0.58800374552593648</v>
      </c>
      <c r="AM114" s="30">
        <v>0.5870810904428595</v>
      </c>
      <c r="AN114" s="53">
        <v>0.5870810904428595</v>
      </c>
    </row>
    <row r="115" spans="12:40" x14ac:dyDescent="0.35">
      <c r="L115" s="41"/>
      <c r="M115" s="42">
        <v>1E-3</v>
      </c>
      <c r="N115" s="41">
        <v>2.8151130456954554E-2</v>
      </c>
      <c r="O115" s="41">
        <v>0.126673882409223</v>
      </c>
      <c r="P115" s="43">
        <v>0.19965498231503073</v>
      </c>
      <c r="Q115" s="43">
        <v>0.25164743873711604</v>
      </c>
      <c r="R115" s="43">
        <v>0.31478907668193457</v>
      </c>
      <c r="S115" s="44">
        <v>0.35321637383594284</v>
      </c>
      <c r="T115" s="41">
        <v>0.37994604470432314</v>
      </c>
      <c r="U115" s="43">
        <v>0.40707030948276257</v>
      </c>
      <c r="V115" s="43">
        <v>0.43672718335645128</v>
      </c>
      <c r="W115" s="43">
        <v>0.46184681851983395</v>
      </c>
      <c r="X115" s="44">
        <v>0.48429780844483994</v>
      </c>
      <c r="Y115" s="43">
        <v>0.50341797296305457</v>
      </c>
      <c r="Z115" s="43">
        <v>0.51958601601075172</v>
      </c>
      <c r="AA115" s="43">
        <v>0.53289052073843302</v>
      </c>
      <c r="AB115" s="43">
        <v>0.54351182831306211</v>
      </c>
      <c r="AC115" s="43">
        <v>0.55238112172190401</v>
      </c>
      <c r="AD115" s="41">
        <v>0.55880575650290254</v>
      </c>
      <c r="AE115" s="43">
        <v>0.56388694077006574</v>
      </c>
      <c r="AF115" s="43">
        <v>0.56738905046375454</v>
      </c>
      <c r="AG115" s="43">
        <v>0.5701332116637946</v>
      </c>
      <c r="AH115" s="44">
        <v>0.57214949828555728</v>
      </c>
      <c r="AI115" s="43">
        <v>0.57397486588128044</v>
      </c>
      <c r="AJ115" s="43">
        <v>0.5754200558784931</v>
      </c>
      <c r="AK115" s="43">
        <v>0.57672969356567261</v>
      </c>
      <c r="AL115" s="43">
        <v>0.57783545293954697</v>
      </c>
      <c r="AM115" s="44">
        <v>0.57882087803720994</v>
      </c>
      <c r="AN115" s="45">
        <v>0.57882087803720994</v>
      </c>
    </row>
    <row r="116" spans="12:40" x14ac:dyDescent="0.35">
      <c r="L116" s="46"/>
      <c r="M116" s="47">
        <v>0.01</v>
      </c>
      <c r="N116" s="46">
        <v>8.9473028922108538E-2</v>
      </c>
      <c r="O116" s="46">
        <v>0.22148082962700019</v>
      </c>
      <c r="P116" s="48">
        <v>0.29345849968565257</v>
      </c>
      <c r="Q116" s="48">
        <v>0.33537239965271004</v>
      </c>
      <c r="R116" s="48">
        <v>0.3847871400393103</v>
      </c>
      <c r="S116" s="19">
        <v>0.41500924527719485</v>
      </c>
      <c r="T116" s="46">
        <v>0.43493876793869446</v>
      </c>
      <c r="U116" s="48">
        <v>0.4553351384770104</v>
      </c>
      <c r="V116" s="48">
        <v>0.47807949302532421</v>
      </c>
      <c r="W116" s="48">
        <v>0.49689973443664431</v>
      </c>
      <c r="X116" s="19">
        <v>0.51317450577139267</v>
      </c>
      <c r="Y116" s="48">
        <v>0.52747518041926089</v>
      </c>
      <c r="Z116" s="48">
        <v>0.53981196485270311</v>
      </c>
      <c r="AA116" s="48">
        <v>0.5496352920762807</v>
      </c>
      <c r="AB116" s="48">
        <v>0.55769764259074339</v>
      </c>
      <c r="AC116" s="48">
        <v>0.56421363830095095</v>
      </c>
      <c r="AD116" s="46">
        <v>0.56920716497823787</v>
      </c>
      <c r="AE116" s="48">
        <v>0.57292039159897945</v>
      </c>
      <c r="AF116" s="48">
        <v>0.57557176530177445</v>
      </c>
      <c r="AG116" s="48">
        <v>0.57759083360310048</v>
      </c>
      <c r="AH116" s="19">
        <v>0.57914572175701529</v>
      </c>
      <c r="AI116" s="48">
        <v>0.58042896754553963</v>
      </c>
      <c r="AJ116" s="48">
        <v>0.58153483762268321</v>
      </c>
      <c r="AK116" s="48">
        <v>0.58242124340811008</v>
      </c>
      <c r="AL116" s="48">
        <v>0.58325334402058315</v>
      </c>
      <c r="AM116" s="19">
        <v>0.58401123016534229</v>
      </c>
      <c r="AN116" s="49">
        <v>0.58401123016534229</v>
      </c>
    </row>
    <row r="117" spans="12:40" x14ac:dyDescent="0.35">
      <c r="L117" s="46"/>
      <c r="M117" s="47">
        <v>9.9999999999999992E-2</v>
      </c>
      <c r="N117" s="46">
        <v>0.28254451406056669</v>
      </c>
      <c r="O117" s="46">
        <v>0.39390611013594651</v>
      </c>
      <c r="P117" s="48">
        <v>0.43344752091190591</v>
      </c>
      <c r="Q117" s="48">
        <v>0.45702437600695439</v>
      </c>
      <c r="R117" s="48">
        <v>0.48410524305184915</v>
      </c>
      <c r="S117" s="19">
        <v>0.50023118351152573</v>
      </c>
      <c r="T117" s="46">
        <v>0.51086844120459562</v>
      </c>
      <c r="U117" s="48">
        <v>0.52213739843805973</v>
      </c>
      <c r="V117" s="48">
        <v>0.53395236795086509</v>
      </c>
      <c r="W117" s="48">
        <v>0.54394165087139423</v>
      </c>
      <c r="X117" s="19">
        <v>0.55281876296948729</v>
      </c>
      <c r="Y117" s="48">
        <v>0.56051040691395237</v>
      </c>
      <c r="Z117" s="48">
        <v>0.56723993204411571</v>
      </c>
      <c r="AA117" s="48">
        <v>0.57252717296581457</v>
      </c>
      <c r="AB117" s="48">
        <v>0.5769164289444414</v>
      </c>
      <c r="AC117" s="48">
        <v>0.58043027935642233</v>
      </c>
      <c r="AD117" s="46">
        <v>0.58314528367530849</v>
      </c>
      <c r="AE117" s="48">
        <v>0.58522619635138262</v>
      </c>
      <c r="AF117" s="48">
        <v>0.58665355235482286</v>
      </c>
      <c r="AG117" s="48">
        <v>0.58773840384457454</v>
      </c>
      <c r="AH117" s="19">
        <v>0.58859492652732104</v>
      </c>
      <c r="AI117" s="48">
        <v>0.58928705402399906</v>
      </c>
      <c r="AJ117" s="48">
        <v>0.58988098538879219</v>
      </c>
      <c r="AK117" s="48">
        <v>0.59037510637280866</v>
      </c>
      <c r="AL117" s="48">
        <v>0.59084312674864592</v>
      </c>
      <c r="AM117" s="19">
        <v>0.59123120859398004</v>
      </c>
      <c r="AN117" s="49">
        <v>0.59123120859398004</v>
      </c>
    </row>
    <row r="118" spans="12:40" x14ac:dyDescent="0.35">
      <c r="L118" s="46"/>
      <c r="M118" s="47">
        <v>0.25000000000000006</v>
      </c>
      <c r="N118" s="46">
        <v>0.44774808071012345</v>
      </c>
      <c r="O118" s="46">
        <v>0.49677637927250734</v>
      </c>
      <c r="P118" s="48">
        <v>0.51662898863959128</v>
      </c>
      <c r="Q118" s="48">
        <v>0.52802847074985548</v>
      </c>
      <c r="R118" s="48">
        <v>0.54112167611102768</v>
      </c>
      <c r="S118" s="19">
        <v>0.54917033324763387</v>
      </c>
      <c r="T118" s="46">
        <v>0.55444676470146181</v>
      </c>
      <c r="U118" s="48">
        <v>0.55994766815964669</v>
      </c>
      <c r="V118" s="48">
        <v>0.56596583792251365</v>
      </c>
      <c r="W118" s="48">
        <v>0.57106605910384389</v>
      </c>
      <c r="X118" s="19">
        <v>0.57558673760151491</v>
      </c>
      <c r="Y118" s="48">
        <v>0.57951744870133159</v>
      </c>
      <c r="Z118" s="48">
        <v>0.58295328710066152</v>
      </c>
      <c r="AA118" s="48">
        <v>0.58571485065436735</v>
      </c>
      <c r="AB118" s="48">
        <v>0.58794909310758192</v>
      </c>
      <c r="AC118" s="48">
        <v>0.58976573958755707</v>
      </c>
      <c r="AD118" s="46">
        <v>0.59119341699915884</v>
      </c>
      <c r="AE118" s="48">
        <v>0.59225595516232821</v>
      </c>
      <c r="AF118" s="48">
        <v>0.59301334035365283</v>
      </c>
      <c r="AG118" s="48">
        <v>0.59359576736024788</v>
      </c>
      <c r="AH118" s="19">
        <v>0.59403841245999478</v>
      </c>
      <c r="AI118" s="48">
        <v>0.59440591071783577</v>
      </c>
      <c r="AJ118" s="48">
        <v>0.59471521232865154</v>
      </c>
      <c r="AK118" s="48">
        <v>0.59497508683462497</v>
      </c>
      <c r="AL118" s="48">
        <v>0.59521344963664402</v>
      </c>
      <c r="AM118" s="19">
        <v>0.59541511299949668</v>
      </c>
      <c r="AN118" s="49">
        <v>0.59541511299949668</v>
      </c>
    </row>
    <row r="119" spans="12:40" x14ac:dyDescent="0.35">
      <c r="L119" s="46">
        <f>M34</f>
        <v>0.8</v>
      </c>
      <c r="M119" s="47">
        <v>0.50000000000000022</v>
      </c>
      <c r="N119" s="46">
        <v>0.63298293640106074</v>
      </c>
      <c r="O119" s="46">
        <v>0.60996732536730203</v>
      </c>
      <c r="P119" s="48">
        <v>0.60638850257660903</v>
      </c>
      <c r="Q119" s="48">
        <v>0.60458520199841015</v>
      </c>
      <c r="R119" s="48">
        <v>0.60293988358172235</v>
      </c>
      <c r="S119" s="19">
        <v>0.60212968787421439</v>
      </c>
      <c r="T119" s="46">
        <v>0.60171763086380847</v>
      </c>
      <c r="U119" s="48">
        <v>0.6013132795246694</v>
      </c>
      <c r="V119" s="48">
        <v>0.60085648211996434</v>
      </c>
      <c r="W119" s="48">
        <v>0.60062532782036615</v>
      </c>
      <c r="X119" s="19">
        <v>0.60044562987845373</v>
      </c>
      <c r="Y119" s="48">
        <v>0.6003499861369922</v>
      </c>
      <c r="Z119" s="48">
        <v>0.60027190301164102</v>
      </c>
      <c r="AA119" s="48">
        <v>0.6001675484668485</v>
      </c>
      <c r="AB119" s="48">
        <v>0.60013474925207433</v>
      </c>
      <c r="AC119" s="48">
        <v>0.60010098681625235</v>
      </c>
      <c r="AD119" s="46">
        <v>0.60009281918150059</v>
      </c>
      <c r="AE119" s="48">
        <v>0.60008193786963793</v>
      </c>
      <c r="AF119" s="48">
        <v>0.60005128882127046</v>
      </c>
      <c r="AG119" s="48">
        <v>0.60004657391686067</v>
      </c>
      <c r="AH119" s="19">
        <v>0.60003381975353609</v>
      </c>
      <c r="AI119" s="48">
        <v>0.60003234845783671</v>
      </c>
      <c r="AJ119" s="48">
        <v>0.60002727534491196</v>
      </c>
      <c r="AK119" s="48">
        <v>0.60003410637309618</v>
      </c>
      <c r="AL119" s="48">
        <v>0.60003124703070532</v>
      </c>
      <c r="AM119" s="19">
        <v>0.60002970130813105</v>
      </c>
      <c r="AN119" s="49">
        <v>0.60002970130813105</v>
      </c>
    </row>
    <row r="120" spans="12:40" x14ac:dyDescent="0.35">
      <c r="L120" s="46"/>
      <c r="M120" s="47">
        <v>0.75000000000000044</v>
      </c>
      <c r="N120" s="46">
        <v>0.77501313675244476</v>
      </c>
      <c r="O120" s="46">
        <v>0.71531089456424635</v>
      </c>
      <c r="P120" s="48">
        <v>0.69049576537525681</v>
      </c>
      <c r="Q120" s="48">
        <v>0.67704530129960905</v>
      </c>
      <c r="R120" s="48">
        <v>0.66196971230508528</v>
      </c>
      <c r="S120" s="19">
        <v>0.65322499136591916</v>
      </c>
      <c r="T120" s="46">
        <v>0.64734002923592016</v>
      </c>
      <c r="U120" s="48">
        <v>0.64135785823476688</v>
      </c>
      <c r="V120" s="48">
        <v>0.63502714019138207</v>
      </c>
      <c r="W120" s="48">
        <v>0.62955407697992127</v>
      </c>
      <c r="X120" s="19">
        <v>0.62492978096065277</v>
      </c>
      <c r="Y120" s="48">
        <v>0.62077935811029816</v>
      </c>
      <c r="Z120" s="48">
        <v>0.61731426148797108</v>
      </c>
      <c r="AA120" s="48">
        <v>0.6145305480924107</v>
      </c>
      <c r="AB120" s="48">
        <v>0.61223924731141388</v>
      </c>
      <c r="AC120" s="48">
        <v>0.61038646357216009</v>
      </c>
      <c r="AD120" s="46">
        <v>0.60893503148801853</v>
      </c>
      <c r="AE120" s="48">
        <v>0.60784243417320927</v>
      </c>
      <c r="AF120" s="48">
        <v>0.60705353203534684</v>
      </c>
      <c r="AG120" s="48">
        <v>0.60648423560885978</v>
      </c>
      <c r="AH120" s="19">
        <v>0.60601443317546766</v>
      </c>
      <c r="AI120" s="48">
        <v>0.60564339320294369</v>
      </c>
      <c r="AJ120" s="48">
        <v>0.60533254008306137</v>
      </c>
      <c r="AK120" s="48">
        <v>0.60507116668929128</v>
      </c>
      <c r="AL120" s="48">
        <v>0.60483550402183428</v>
      </c>
      <c r="AM120" s="19">
        <v>0.6046232337714067</v>
      </c>
      <c r="AN120" s="49">
        <v>0.6046232337714067</v>
      </c>
    </row>
    <row r="121" spans="12:40" x14ac:dyDescent="0.35">
      <c r="L121" s="46"/>
      <c r="M121" s="47">
        <v>0.90000000000000058</v>
      </c>
      <c r="N121" s="46">
        <v>0.85856425310165307</v>
      </c>
      <c r="O121" s="46">
        <v>0.79344774369185322</v>
      </c>
      <c r="P121" s="48">
        <v>0.75847786980195153</v>
      </c>
      <c r="Q121" s="48">
        <v>0.73706332541811437</v>
      </c>
      <c r="R121" s="48">
        <v>0.71173608558099888</v>
      </c>
      <c r="S121" s="19">
        <v>0.69689494150407061</v>
      </c>
      <c r="T121" s="46">
        <v>0.68664628604369415</v>
      </c>
      <c r="U121" s="48">
        <v>0.67621215459625872</v>
      </c>
      <c r="V121" s="48">
        <v>0.66478129218912263</v>
      </c>
      <c r="W121" s="48">
        <v>0.65498591745827006</v>
      </c>
      <c r="X121" s="19">
        <v>0.64646715351600947</v>
      </c>
      <c r="Y121" s="48">
        <v>0.63888774886297994</v>
      </c>
      <c r="Z121" s="48">
        <v>0.63246967604601989</v>
      </c>
      <c r="AA121" s="48">
        <v>0.62730515358716765</v>
      </c>
      <c r="AB121" s="48">
        <v>0.6229882236173544</v>
      </c>
      <c r="AC121" s="48">
        <v>0.61953012970200882</v>
      </c>
      <c r="AD121" s="46">
        <v>0.61681541663659845</v>
      </c>
      <c r="AE121" s="48">
        <v>0.61478027803587254</v>
      </c>
      <c r="AF121" s="48">
        <v>0.61333206119473904</v>
      </c>
      <c r="AG121" s="48">
        <v>0.61225618108050051</v>
      </c>
      <c r="AH121" s="19">
        <v>0.61138346996064019</v>
      </c>
      <c r="AI121" s="48">
        <v>0.6106948195144396</v>
      </c>
      <c r="AJ121" s="48">
        <v>0.61008484698497589</v>
      </c>
      <c r="AK121" s="48">
        <v>0.60960529041105282</v>
      </c>
      <c r="AL121" s="48">
        <v>0.60915406510121217</v>
      </c>
      <c r="AM121" s="19">
        <v>0.60874429256450624</v>
      </c>
      <c r="AN121" s="49">
        <v>0.60874429256450624</v>
      </c>
    </row>
    <row r="122" spans="12:40" x14ac:dyDescent="0.35">
      <c r="L122" s="46"/>
      <c r="M122" s="47">
        <v>0.99000000000000066</v>
      </c>
      <c r="N122" s="46">
        <v>0.955410277988197</v>
      </c>
      <c r="O122" s="46">
        <v>0.88943620651974931</v>
      </c>
      <c r="P122" s="48">
        <v>0.85099176250273423</v>
      </c>
      <c r="Q122" s="48">
        <v>0.82354557823107377</v>
      </c>
      <c r="R122" s="48">
        <v>0.78817370231817818</v>
      </c>
      <c r="S122" s="19">
        <v>0.76560438745324266</v>
      </c>
      <c r="T122" s="46">
        <v>0.74952022518418415</v>
      </c>
      <c r="U122" s="48">
        <v>0.73209864786395662</v>
      </c>
      <c r="V122" s="48">
        <v>0.71339133464462623</v>
      </c>
      <c r="W122" s="48">
        <v>0.69684544639757628</v>
      </c>
      <c r="X122" s="19">
        <v>0.68244440539123941</v>
      </c>
      <c r="Y122" s="48">
        <v>0.66928170194147929</v>
      </c>
      <c r="Z122" s="48">
        <v>0.65804362968880414</v>
      </c>
      <c r="AA122" s="48">
        <v>0.64901940348439913</v>
      </c>
      <c r="AB122" s="48">
        <v>0.64126086189313458</v>
      </c>
      <c r="AC122" s="48">
        <v>0.63515228479872432</v>
      </c>
      <c r="AD122" s="46">
        <v>0.63026571669219189</v>
      </c>
      <c r="AE122" s="48">
        <v>0.62665167280493916</v>
      </c>
      <c r="AF122" s="48">
        <v>0.6240530529107281</v>
      </c>
      <c r="AG122" s="48">
        <v>0.6221296987002003</v>
      </c>
      <c r="AH122" s="19">
        <v>0.62057255303967285</v>
      </c>
      <c r="AI122" s="48">
        <v>0.61928984502090534</v>
      </c>
      <c r="AJ122" s="48">
        <v>0.61825614537004958</v>
      </c>
      <c r="AK122" s="48">
        <v>0.61733718228951029</v>
      </c>
      <c r="AL122" s="48">
        <v>0.61656151444748653</v>
      </c>
      <c r="AM122" s="19">
        <v>0.61583121042707301</v>
      </c>
      <c r="AN122" s="49">
        <v>0.61583121042707301</v>
      </c>
    </row>
    <row r="123" spans="12:40" x14ac:dyDescent="0.35">
      <c r="L123" s="50"/>
      <c r="M123" s="51">
        <v>0.999</v>
      </c>
      <c r="N123" s="50">
        <v>0.98564596903233581</v>
      </c>
      <c r="O123" s="50">
        <v>0.93790198930187785</v>
      </c>
      <c r="P123" s="52">
        <v>0.90050039576718788</v>
      </c>
      <c r="Q123" s="52">
        <v>0.8725170053155934</v>
      </c>
      <c r="R123" s="52">
        <v>0.8358320036498712</v>
      </c>
      <c r="S123" s="30">
        <v>0.8099061944033531</v>
      </c>
      <c r="T123" s="50">
        <v>0.79084119835745148</v>
      </c>
      <c r="U123" s="52">
        <v>0.77047685445126546</v>
      </c>
      <c r="V123" s="52">
        <v>0.74675733907771835</v>
      </c>
      <c r="W123" s="52">
        <v>0.72627421788616664</v>
      </c>
      <c r="X123" s="30">
        <v>0.70810160928377874</v>
      </c>
      <c r="Y123" s="52">
        <v>0.69103438508357218</v>
      </c>
      <c r="Z123" s="52">
        <v>0.6763559838151012</v>
      </c>
      <c r="AA123" s="52">
        <v>0.66454156389926089</v>
      </c>
      <c r="AB123" s="52">
        <v>0.65432432576400179</v>
      </c>
      <c r="AC123" s="52">
        <v>0.64610037237106954</v>
      </c>
      <c r="AD123" s="50">
        <v>0.64003609455181354</v>
      </c>
      <c r="AE123" s="52">
        <v>0.63513512039822484</v>
      </c>
      <c r="AF123" s="52">
        <v>0.63174928701485644</v>
      </c>
      <c r="AG123" s="52">
        <v>0.62908794147566216</v>
      </c>
      <c r="AH123" s="30">
        <v>0.62718652835990296</v>
      </c>
      <c r="AI123" s="52">
        <v>0.62561812713036202</v>
      </c>
      <c r="AJ123" s="52">
        <v>0.62419155852131325</v>
      </c>
      <c r="AK123" s="52">
        <v>0.62298079045589627</v>
      </c>
      <c r="AL123" s="52">
        <v>0.62194471670070373</v>
      </c>
      <c r="AM123" s="30">
        <v>0.62100358979689951</v>
      </c>
      <c r="AN123" s="53">
        <v>0.62100358979689951</v>
      </c>
    </row>
    <row r="124" spans="12:40" x14ac:dyDescent="0.35">
      <c r="L124" s="41"/>
      <c r="M124" s="42">
        <v>1E-3</v>
      </c>
      <c r="N124" s="41">
        <v>2.985878286626957E-2</v>
      </c>
      <c r="O124" s="41">
        <v>0.13435794187618336</v>
      </c>
      <c r="P124" s="43">
        <v>0.2117660878389577</v>
      </c>
      <c r="Q124" s="43">
        <v>0.26691241559886153</v>
      </c>
      <c r="R124" s="43">
        <v>0.33373117186074963</v>
      </c>
      <c r="S124" s="44">
        <v>0.37435707284345326</v>
      </c>
      <c r="T124" s="41">
        <v>0.40270412045637249</v>
      </c>
      <c r="U124" s="43">
        <v>0.43092802148907311</v>
      </c>
      <c r="V124" s="43">
        <v>0.4625160131448825</v>
      </c>
      <c r="W124" s="43">
        <v>0.48876757252471087</v>
      </c>
      <c r="X124" s="44">
        <v>0.51230178239957291</v>
      </c>
      <c r="Y124" s="43">
        <v>0.53241703303626964</v>
      </c>
      <c r="Z124" s="43">
        <v>0.54936050701001615</v>
      </c>
      <c r="AA124" s="43">
        <v>0.56331769834670298</v>
      </c>
      <c r="AB124" s="43">
        <v>0.57446508123966022</v>
      </c>
      <c r="AC124" s="43">
        <v>0.58353904755948738</v>
      </c>
      <c r="AD124" s="41">
        <v>0.59039189260397928</v>
      </c>
      <c r="AE124" s="43">
        <v>0.59570100172565466</v>
      </c>
      <c r="AF124" s="43">
        <v>0.59934188522165532</v>
      </c>
      <c r="AG124" s="43">
        <v>0.60219107366681823</v>
      </c>
      <c r="AH124" s="44">
        <v>0.60434380242382324</v>
      </c>
      <c r="AI124" s="43">
        <v>0.60622034608059849</v>
      </c>
      <c r="AJ124" s="43">
        <v>0.60772183757108156</v>
      </c>
      <c r="AK124" s="43">
        <v>0.60907939900280872</v>
      </c>
      <c r="AL124" s="43">
        <v>0.61023764469217379</v>
      </c>
      <c r="AM124" s="44">
        <v>0.61129113048336547</v>
      </c>
      <c r="AN124" s="45">
        <v>0.61129113048336547</v>
      </c>
    </row>
    <row r="125" spans="12:40" x14ac:dyDescent="0.35">
      <c r="L125" s="46"/>
      <c r="M125" s="47">
        <v>0.01</v>
      </c>
      <c r="N125" s="46">
        <v>9.4900478226184554E-2</v>
      </c>
      <c r="O125" s="46">
        <v>0.23491589479811137</v>
      </c>
      <c r="P125" s="48">
        <v>0.31125974268683293</v>
      </c>
      <c r="Q125" s="48">
        <v>0.35562540500321677</v>
      </c>
      <c r="R125" s="48">
        <v>0.40781781156255476</v>
      </c>
      <c r="S125" s="19">
        <v>0.43960488521651508</v>
      </c>
      <c r="T125" s="46">
        <v>0.46054849877333132</v>
      </c>
      <c r="U125" s="48">
        <v>0.48195215020304893</v>
      </c>
      <c r="V125" s="48">
        <v>0.50593004009664211</v>
      </c>
      <c r="W125" s="48">
        <v>0.52561644361624471</v>
      </c>
      <c r="X125" s="19">
        <v>0.54261164885306601</v>
      </c>
      <c r="Y125" s="48">
        <v>0.5575981567156193</v>
      </c>
      <c r="Z125" s="48">
        <v>0.57047446517580647</v>
      </c>
      <c r="AA125" s="48">
        <v>0.58085467376867761</v>
      </c>
      <c r="AB125" s="48">
        <v>0.58924408413238805</v>
      </c>
      <c r="AC125" s="48">
        <v>0.59602412234811786</v>
      </c>
      <c r="AD125" s="46">
        <v>0.60124616518795571</v>
      </c>
      <c r="AE125" s="48">
        <v>0.6051117708109307</v>
      </c>
      <c r="AF125" s="48">
        <v>0.60786686283338709</v>
      </c>
      <c r="AG125" s="48">
        <v>0.60997931883313816</v>
      </c>
      <c r="AH125" s="19">
        <v>0.61161047083034481</v>
      </c>
      <c r="AI125" s="48">
        <v>0.61295716709658199</v>
      </c>
      <c r="AJ125" s="48">
        <v>0.61409474684152199</v>
      </c>
      <c r="AK125" s="48">
        <v>0.61500587097369486</v>
      </c>
      <c r="AL125" s="48">
        <v>0.61589094385608589</v>
      </c>
      <c r="AM125" s="19">
        <v>0.61667709796259385</v>
      </c>
      <c r="AN125" s="49">
        <v>0.61667709796259385</v>
      </c>
    </row>
    <row r="126" spans="12:40" x14ac:dyDescent="0.35">
      <c r="L126" s="46"/>
      <c r="M126" s="47">
        <v>9.9999999999999992E-2</v>
      </c>
      <c r="N126" s="46">
        <v>0.29968371281892675</v>
      </c>
      <c r="O126" s="46">
        <v>0.41780052244191418</v>
      </c>
      <c r="P126" s="48">
        <v>0.4592480986389299</v>
      </c>
      <c r="Q126" s="48">
        <v>0.48402764603918463</v>
      </c>
      <c r="R126" s="48">
        <v>0.51236263572082585</v>
      </c>
      <c r="S126" s="19">
        <v>0.52921962750607354</v>
      </c>
      <c r="T126" s="46">
        <v>0.54038879113272398</v>
      </c>
      <c r="U126" s="48">
        <v>0.55213190754479702</v>
      </c>
      <c r="V126" s="48">
        <v>0.5644596115491135</v>
      </c>
      <c r="W126" s="48">
        <v>0.57491743678419538</v>
      </c>
      <c r="X126" s="19">
        <v>0.5841871757715148</v>
      </c>
      <c r="Y126" s="48">
        <v>0.59219968179116911</v>
      </c>
      <c r="Z126" s="48">
        <v>0.59921085669077445</v>
      </c>
      <c r="AA126" s="48">
        <v>0.60472408021980384</v>
      </c>
      <c r="AB126" s="48">
        <v>0.60929345160491544</v>
      </c>
      <c r="AC126" s="48">
        <v>0.61296169747712914</v>
      </c>
      <c r="AD126" s="46">
        <v>0.61578612556985168</v>
      </c>
      <c r="AE126" s="48">
        <v>0.61794526741552525</v>
      </c>
      <c r="AF126" s="48">
        <v>0.61943524756587576</v>
      </c>
      <c r="AG126" s="48">
        <v>0.6205710825526044</v>
      </c>
      <c r="AH126" s="19">
        <v>0.62145508891691581</v>
      </c>
      <c r="AI126" s="48">
        <v>0.62218501721063568</v>
      </c>
      <c r="AJ126" s="48">
        <v>0.62280266840888054</v>
      </c>
      <c r="AK126" s="48">
        <v>0.62331581192250607</v>
      </c>
      <c r="AL126" s="48">
        <v>0.62379426308420272</v>
      </c>
      <c r="AM126" s="19">
        <v>0.62420585462339828</v>
      </c>
      <c r="AN126" s="49">
        <v>0.62420585462339828</v>
      </c>
    </row>
    <row r="127" spans="12:40" x14ac:dyDescent="0.35">
      <c r="L127" s="46"/>
      <c r="M127" s="47">
        <v>0.25000000000000006</v>
      </c>
      <c r="N127" s="46">
        <v>0.47490855620008482</v>
      </c>
      <c r="O127" s="46">
        <v>0.52611900252562571</v>
      </c>
      <c r="P127" s="48">
        <v>0.54679110541557263</v>
      </c>
      <c r="Q127" s="48">
        <v>0.55861459176359907</v>
      </c>
      <c r="R127" s="48">
        <v>0.57225944233213688</v>
      </c>
      <c r="S127" s="19">
        <v>0.58054067919785202</v>
      </c>
      <c r="T127" s="46">
        <v>0.586018439407615</v>
      </c>
      <c r="U127" s="48">
        <v>0.59173746815209349</v>
      </c>
      <c r="V127" s="48">
        <v>0.59798546007701481</v>
      </c>
      <c r="W127" s="48">
        <v>0.60328347076425926</v>
      </c>
      <c r="X127" s="19">
        <v>0.60795444703824209</v>
      </c>
      <c r="Y127" s="48">
        <v>0.61203663817993315</v>
      </c>
      <c r="Z127" s="48">
        <v>0.61561040292972213</v>
      </c>
      <c r="AA127" s="48">
        <v>0.61848601226389222</v>
      </c>
      <c r="AB127" s="48">
        <v>0.62080272049848872</v>
      </c>
      <c r="AC127" s="48">
        <v>0.62269427981341974</v>
      </c>
      <c r="AD127" s="46">
        <v>0.62416962165653755</v>
      </c>
      <c r="AE127" s="48">
        <v>0.62527442589654347</v>
      </c>
      <c r="AF127" s="48">
        <v>0.62606356903749327</v>
      </c>
      <c r="AG127" s="48">
        <v>0.62667005595627667</v>
      </c>
      <c r="AH127" s="19">
        <v>0.62712979800813617</v>
      </c>
      <c r="AI127" s="48">
        <v>0.6275106270822457</v>
      </c>
      <c r="AJ127" s="48">
        <v>0.6278332893004902</v>
      </c>
      <c r="AK127" s="48">
        <v>0.62810482442647508</v>
      </c>
      <c r="AL127" s="48">
        <v>0.62835121347958933</v>
      </c>
      <c r="AM127" s="19">
        <v>0.62856377408291175</v>
      </c>
      <c r="AN127" s="49">
        <v>0.62856377408291175</v>
      </c>
    </row>
    <row r="128" spans="12:40" x14ac:dyDescent="0.35">
      <c r="L128" s="46">
        <f>M35</f>
        <v>0.9</v>
      </c>
      <c r="M128" s="47">
        <v>0.50000000000000022</v>
      </c>
      <c r="N128" s="46">
        <v>0.67137979005684489</v>
      </c>
      <c r="O128" s="46">
        <v>0.64493225644250285</v>
      </c>
      <c r="P128" s="48">
        <v>0.64081269652854878</v>
      </c>
      <c r="Q128" s="48">
        <v>0.63875125996451443</v>
      </c>
      <c r="R128" s="48">
        <v>0.6368083386997091</v>
      </c>
      <c r="S128" s="19">
        <v>0.63589845707341786</v>
      </c>
      <c r="T128" s="46">
        <v>0.63538564548240284</v>
      </c>
      <c r="U128" s="48">
        <v>0.63488018642346244</v>
      </c>
      <c r="V128" s="48">
        <v>0.63436427586383759</v>
      </c>
      <c r="W128" s="48">
        <v>0.63409343828006171</v>
      </c>
      <c r="X128" s="19">
        <v>0.63386392673844716</v>
      </c>
      <c r="Y128" s="48">
        <v>0.6337471698946131</v>
      </c>
      <c r="Z128" s="48">
        <v>0.63365618773598686</v>
      </c>
      <c r="AA128" s="48">
        <v>0.63353808664633693</v>
      </c>
      <c r="AB128" s="48">
        <v>0.6335025870834583</v>
      </c>
      <c r="AC128" s="48">
        <v>0.63345192415225993</v>
      </c>
      <c r="AD128" s="46">
        <v>0.63343906540174832</v>
      </c>
      <c r="AE128" s="48">
        <v>0.63342778759624896</v>
      </c>
      <c r="AF128" s="48">
        <v>0.63339659636687917</v>
      </c>
      <c r="AG128" s="48">
        <v>0.63338445704095858</v>
      </c>
      <c r="AH128" s="19">
        <v>0.6333740553017474</v>
      </c>
      <c r="AI128" s="48">
        <v>0.63337103315000676</v>
      </c>
      <c r="AJ128" s="48">
        <v>0.63336647486288811</v>
      </c>
      <c r="AK128" s="48">
        <v>0.63337264604513688</v>
      </c>
      <c r="AL128" s="48">
        <v>0.63337012455302666</v>
      </c>
      <c r="AM128" s="19">
        <v>0.63337045814831328</v>
      </c>
      <c r="AN128" s="49">
        <v>0.63337045814831328</v>
      </c>
    </row>
    <row r="129" spans="12:40" x14ac:dyDescent="0.35">
      <c r="L129" s="46"/>
      <c r="M129" s="47">
        <v>0.75000000000000044</v>
      </c>
      <c r="N129" s="46">
        <v>0.82202556675946625</v>
      </c>
      <c r="O129" s="46">
        <v>0.75501874837159422</v>
      </c>
      <c r="P129" s="48">
        <v>0.72837296278982711</v>
      </c>
      <c r="Q129" s="48">
        <v>0.7140589448180592</v>
      </c>
      <c r="R129" s="48">
        <v>0.69819880847992177</v>
      </c>
      <c r="S129" s="19">
        <v>0.68897766378269354</v>
      </c>
      <c r="T129" s="46">
        <v>0.68279620519743744</v>
      </c>
      <c r="U129" s="48">
        <v>0.67651118849384362</v>
      </c>
      <c r="V129" s="48">
        <v>0.66990051770125325</v>
      </c>
      <c r="W129" s="48">
        <v>0.66416338947816567</v>
      </c>
      <c r="X129" s="19">
        <v>0.65933520562918679</v>
      </c>
      <c r="Y129" s="48">
        <v>0.65499324144369742</v>
      </c>
      <c r="Z129" s="48">
        <v>0.65137624253399351</v>
      </c>
      <c r="AA129" s="48">
        <v>0.64847731496426353</v>
      </c>
      <c r="AB129" s="48">
        <v>0.64607730885860282</v>
      </c>
      <c r="AC129" s="48">
        <v>0.64415022436547154</v>
      </c>
      <c r="AD129" s="46">
        <v>0.6426398563079192</v>
      </c>
      <c r="AE129" s="48">
        <v>0.64149919350029405</v>
      </c>
      <c r="AF129" s="48">
        <v>0.64067835149617258</v>
      </c>
      <c r="AG129" s="48">
        <v>0.64008328987129037</v>
      </c>
      <c r="AH129" s="19">
        <v>0.63959613466540544</v>
      </c>
      <c r="AI129" s="48">
        <v>0.63920826631139183</v>
      </c>
      <c r="AJ129" s="48">
        <v>0.63889151264737398</v>
      </c>
      <c r="AK129" s="48">
        <v>0.63861094496986415</v>
      </c>
      <c r="AL129" s="48">
        <v>0.63836875055423092</v>
      </c>
      <c r="AM129" s="19">
        <v>0.63814504561163288</v>
      </c>
      <c r="AN129" s="49">
        <v>0.63814504561163288</v>
      </c>
    </row>
    <row r="130" spans="12:40" x14ac:dyDescent="0.35">
      <c r="L130" s="46"/>
      <c r="M130" s="47">
        <v>0.90000000000000058</v>
      </c>
      <c r="N130" s="46">
        <v>0.89998982369058922</v>
      </c>
      <c r="O130" s="46">
        <v>0.83508005567226307</v>
      </c>
      <c r="P130" s="48">
        <v>0.79823400740117734</v>
      </c>
      <c r="Q130" s="48">
        <v>0.7758270868876842</v>
      </c>
      <c r="R130" s="48">
        <v>0.74943565741944707</v>
      </c>
      <c r="S130" s="19">
        <v>0.73397404635358487</v>
      </c>
      <c r="T130" s="46">
        <v>0.72338629061001913</v>
      </c>
      <c r="U130" s="48">
        <v>0.71248848782672458</v>
      </c>
      <c r="V130" s="48">
        <v>0.7006568332994465</v>
      </c>
      <c r="W130" s="48">
        <v>0.69052361155788733</v>
      </c>
      <c r="X130" s="19">
        <v>0.68164166533631698</v>
      </c>
      <c r="Y130" s="48">
        <v>0.67376595582778676</v>
      </c>
      <c r="Z130" s="48">
        <v>0.66709572605032086</v>
      </c>
      <c r="AA130" s="48">
        <v>0.6617507117347049</v>
      </c>
      <c r="AB130" s="48">
        <v>0.65726272249460249</v>
      </c>
      <c r="AC130" s="48">
        <v>0.65366753005520639</v>
      </c>
      <c r="AD130" s="46">
        <v>0.65083575475034128</v>
      </c>
      <c r="AE130" s="48">
        <v>0.64872015366941738</v>
      </c>
      <c r="AF130" s="48">
        <v>0.64720200038707409</v>
      </c>
      <c r="AG130" s="48">
        <v>0.64608791032563306</v>
      </c>
      <c r="AH130" s="19">
        <v>0.64518341523743716</v>
      </c>
      <c r="AI130" s="48">
        <v>0.64445883917949087</v>
      </c>
      <c r="AJ130" s="48">
        <v>0.64383341443174924</v>
      </c>
      <c r="AK130" s="48">
        <v>0.64332829904326527</v>
      </c>
      <c r="AL130" s="48">
        <v>0.64285852997733506</v>
      </c>
      <c r="AM130" s="19">
        <v>0.64243509324938219</v>
      </c>
      <c r="AN130" s="49">
        <v>0.64243509324938219</v>
      </c>
    </row>
    <row r="131" spans="12:40" x14ac:dyDescent="0.35">
      <c r="L131" s="46"/>
      <c r="M131" s="47">
        <v>0.99000000000000066</v>
      </c>
      <c r="N131" s="46">
        <v>0.96847030519423105</v>
      </c>
      <c r="O131" s="46">
        <v>0.92108209424138365</v>
      </c>
      <c r="P131" s="48">
        <v>0.8879610310682563</v>
      </c>
      <c r="Q131" s="48">
        <v>0.86193115625949879</v>
      </c>
      <c r="R131" s="48">
        <v>0.82677735639290695</v>
      </c>
      <c r="S131" s="19">
        <v>0.80389751343339821</v>
      </c>
      <c r="T131" s="46">
        <v>0.78758179702122311</v>
      </c>
      <c r="U131" s="48">
        <v>0.76976057222806216</v>
      </c>
      <c r="V131" s="48">
        <v>0.75066586027916193</v>
      </c>
      <c r="W131" s="48">
        <v>0.73367777861014294</v>
      </c>
      <c r="X131" s="19">
        <v>0.71882753381421849</v>
      </c>
      <c r="Y131" s="48">
        <v>0.70521756831960303</v>
      </c>
      <c r="Z131" s="48">
        <v>0.69359817020077941</v>
      </c>
      <c r="AA131" s="48">
        <v>0.68427625849993601</v>
      </c>
      <c r="AB131" s="48">
        <v>0.67624660670766179</v>
      </c>
      <c r="AC131" s="48">
        <v>0.66984244008383476</v>
      </c>
      <c r="AD131" s="46">
        <v>0.66478737980623048</v>
      </c>
      <c r="AE131" s="48">
        <v>0.66102317182329828</v>
      </c>
      <c r="AF131" s="48">
        <v>0.65834564149127484</v>
      </c>
      <c r="AG131" s="48">
        <v>0.65634748609605909</v>
      </c>
      <c r="AH131" s="19">
        <v>0.65474434696876582</v>
      </c>
      <c r="AI131" s="48">
        <v>0.65339677613800817</v>
      </c>
      <c r="AJ131" s="48">
        <v>0.65230620783063487</v>
      </c>
      <c r="AK131" s="48">
        <v>0.65134650618662748</v>
      </c>
      <c r="AL131" s="48">
        <v>0.65055369451456801</v>
      </c>
      <c r="AM131" s="19">
        <v>0.64978877420050507</v>
      </c>
      <c r="AN131" s="49">
        <v>0.64978877420050507</v>
      </c>
    </row>
    <row r="132" spans="12:40" x14ac:dyDescent="0.35">
      <c r="L132" s="50"/>
      <c r="M132" s="51">
        <v>0.999</v>
      </c>
      <c r="N132" s="50">
        <v>0.98985016736540288</v>
      </c>
      <c r="O132" s="50">
        <v>0.95609007553716308</v>
      </c>
      <c r="P132" s="52">
        <v>0.92883795618540799</v>
      </c>
      <c r="Q132" s="52">
        <v>0.90584347431210632</v>
      </c>
      <c r="R132" s="52">
        <v>0.87286840700887469</v>
      </c>
      <c r="S132" s="30">
        <v>0.84743553908396718</v>
      </c>
      <c r="T132" s="50">
        <v>0.82894596264982401</v>
      </c>
      <c r="U132" s="52">
        <v>0.80833893774767052</v>
      </c>
      <c r="V132" s="52">
        <v>0.78443457643639369</v>
      </c>
      <c r="W132" s="52">
        <v>0.76390035415876911</v>
      </c>
      <c r="X132" s="30">
        <v>0.74517707610187078</v>
      </c>
      <c r="Y132" s="52">
        <v>0.72741346866153833</v>
      </c>
      <c r="Z132" s="52">
        <v>0.71246846282152354</v>
      </c>
      <c r="AA132" s="52">
        <v>0.70022504464439794</v>
      </c>
      <c r="AB132" s="52">
        <v>0.68973631264292767</v>
      </c>
      <c r="AC132" s="52">
        <v>0.68121241772355734</v>
      </c>
      <c r="AD132" s="50">
        <v>0.67492597256869702</v>
      </c>
      <c r="AE132" s="52">
        <v>0.66982647374316284</v>
      </c>
      <c r="AF132" s="52">
        <v>0.66631122201776782</v>
      </c>
      <c r="AG132" s="52">
        <v>0.66356288876600134</v>
      </c>
      <c r="AH132" s="30">
        <v>0.66156469913126714</v>
      </c>
      <c r="AI132" s="52">
        <v>0.65994113376229313</v>
      </c>
      <c r="AJ132" s="52">
        <v>0.65847272364513176</v>
      </c>
      <c r="AK132" s="52">
        <v>0.65723293439021235</v>
      </c>
      <c r="AL132" s="52">
        <v>0.65617651319421333</v>
      </c>
      <c r="AM132" s="30">
        <v>0.65518569256862069</v>
      </c>
      <c r="AN132" s="53">
        <v>0.65518569256862069</v>
      </c>
    </row>
    <row r="133" spans="12:40" x14ac:dyDescent="0.35">
      <c r="L133" s="41"/>
      <c r="M133" s="42">
        <v>1E-3</v>
      </c>
      <c r="N133" s="41">
        <v>3.1473920672607542E-2</v>
      </c>
      <c r="O133" s="41">
        <v>0.14162570602041874</v>
      </c>
      <c r="P133" s="43">
        <v>0.22322105625146355</v>
      </c>
      <c r="Q133" s="43">
        <v>0.28135038968995263</v>
      </c>
      <c r="R133" s="43">
        <v>0.35169766469280622</v>
      </c>
      <c r="S133" s="44">
        <v>0.39450116812153346</v>
      </c>
      <c r="T133" s="41">
        <v>0.42420675362328375</v>
      </c>
      <c r="U133" s="43">
        <v>0.45411210464680662</v>
      </c>
      <c r="V133" s="43">
        <v>0.48737272942002502</v>
      </c>
      <c r="W133" s="43">
        <v>0.51486519197566116</v>
      </c>
      <c r="X133" s="44">
        <v>0.53953110489163114</v>
      </c>
      <c r="Y133" s="43">
        <v>0.56072088176080348</v>
      </c>
      <c r="Z133" s="43">
        <v>0.57861436618345008</v>
      </c>
      <c r="AA133" s="43">
        <v>0.59319168688348745</v>
      </c>
      <c r="AB133" s="43">
        <v>0.60493580083379916</v>
      </c>
      <c r="AC133" s="43">
        <v>0.61443030727374548</v>
      </c>
      <c r="AD133" s="41">
        <v>0.62159591510584822</v>
      </c>
      <c r="AE133" s="43">
        <v>0.62721440567750242</v>
      </c>
      <c r="AF133" s="43">
        <v>0.63105613687964368</v>
      </c>
      <c r="AG133" s="43">
        <v>0.63401427281654921</v>
      </c>
      <c r="AH133" s="44">
        <v>0.63629333775728292</v>
      </c>
      <c r="AI133" s="43">
        <v>0.6382546629353868</v>
      </c>
      <c r="AJ133" s="43">
        <v>0.63977589163387272</v>
      </c>
      <c r="AK133" s="43">
        <v>0.64122587284850607</v>
      </c>
      <c r="AL133" s="43">
        <v>0.64243912285558991</v>
      </c>
      <c r="AM133" s="44">
        <v>0.64355222176238647</v>
      </c>
      <c r="AN133" s="45">
        <v>0.64355222176238647</v>
      </c>
    </row>
    <row r="134" spans="12:40" x14ac:dyDescent="0.35">
      <c r="L134" s="46"/>
      <c r="M134" s="47">
        <v>0.01</v>
      </c>
      <c r="N134" s="46">
        <v>0.10003388741131972</v>
      </c>
      <c r="O134" s="46">
        <v>0.24762309537951094</v>
      </c>
      <c r="P134" s="48">
        <v>0.32809657693610988</v>
      </c>
      <c r="Q134" s="48">
        <v>0.37483402547113864</v>
      </c>
      <c r="R134" s="48">
        <v>0.42978279889553739</v>
      </c>
      <c r="S134" s="19">
        <v>0.46326109397177617</v>
      </c>
      <c r="T134" s="46">
        <v>0.4852621683276287</v>
      </c>
      <c r="U134" s="48">
        <v>0.50769837943497409</v>
      </c>
      <c r="V134" s="48">
        <v>0.53288414539463591</v>
      </c>
      <c r="W134" s="48">
        <v>0.55361519308544893</v>
      </c>
      <c r="X134" s="19">
        <v>0.57151240614154242</v>
      </c>
      <c r="Y134" s="48">
        <v>0.58721698746515361</v>
      </c>
      <c r="Z134" s="48">
        <v>0.60072641556561279</v>
      </c>
      <c r="AA134" s="48">
        <v>0.61161960305032315</v>
      </c>
      <c r="AB134" s="48">
        <v>0.62042540105848965</v>
      </c>
      <c r="AC134" s="48">
        <v>0.62753796973144493</v>
      </c>
      <c r="AD134" s="46">
        <v>0.63302024780417354</v>
      </c>
      <c r="AE134" s="48">
        <v>0.63707979803605019</v>
      </c>
      <c r="AF134" s="48">
        <v>0.63996046017867969</v>
      </c>
      <c r="AG134" s="48">
        <v>0.64216835430257602</v>
      </c>
      <c r="AH134" s="19">
        <v>0.64388734341011589</v>
      </c>
      <c r="AI134" s="48">
        <v>0.64530084099423168</v>
      </c>
      <c r="AJ134" s="48">
        <v>0.64647974610671488</v>
      </c>
      <c r="AK134" s="48">
        <v>0.64745103572106022</v>
      </c>
      <c r="AL134" s="48">
        <v>0.6483840560005939</v>
      </c>
      <c r="AM134" s="19">
        <v>0.64919680266111612</v>
      </c>
      <c r="AN134" s="49">
        <v>0.64919680266111612</v>
      </c>
    </row>
    <row r="135" spans="12:40" x14ac:dyDescent="0.35">
      <c r="L135" s="46"/>
      <c r="M135" s="47">
        <v>9.9999999999999992E-2</v>
      </c>
      <c r="N135" s="46">
        <v>0.31589437005453613</v>
      </c>
      <c r="O135" s="46">
        <v>0.44040041950824771</v>
      </c>
      <c r="P135" s="48">
        <v>0.48396182713601382</v>
      </c>
      <c r="Q135" s="48">
        <v>0.50997050058544702</v>
      </c>
      <c r="R135" s="48">
        <v>0.53978212634227796</v>
      </c>
      <c r="S135" s="19">
        <v>0.55744838643594574</v>
      </c>
      <c r="T135" s="46">
        <v>0.56914023373986156</v>
      </c>
      <c r="U135" s="48">
        <v>0.58151915615962491</v>
      </c>
      <c r="V135" s="48">
        <v>0.59443295929630413</v>
      </c>
      <c r="W135" s="48">
        <v>0.60542363653171904</v>
      </c>
      <c r="X135" s="19">
        <v>0.61512602566162367</v>
      </c>
      <c r="Y135" s="48">
        <v>0.62353487251459117</v>
      </c>
      <c r="Z135" s="48">
        <v>0.63089264615676688</v>
      </c>
      <c r="AA135" s="48">
        <v>0.63667976895387635</v>
      </c>
      <c r="AB135" s="48">
        <v>0.64145477987020816</v>
      </c>
      <c r="AC135" s="48">
        <v>0.64530799102562442</v>
      </c>
      <c r="AD135" s="46">
        <v>0.6482738892203902</v>
      </c>
      <c r="AE135" s="48">
        <v>0.65052909338228759</v>
      </c>
      <c r="AF135" s="48">
        <v>0.65209836176866742</v>
      </c>
      <c r="AG135" s="48">
        <v>0.65328997013946966</v>
      </c>
      <c r="AH135" s="19">
        <v>0.65422070098882279</v>
      </c>
      <c r="AI135" s="48">
        <v>0.6549815926417325</v>
      </c>
      <c r="AJ135" s="48">
        <v>0.65563137020258344</v>
      </c>
      <c r="AK135" s="48">
        <v>0.65616683984085034</v>
      </c>
      <c r="AL135" s="48">
        <v>0.65666799298336376</v>
      </c>
      <c r="AM135" s="19">
        <v>0.65710148423974324</v>
      </c>
      <c r="AN135" s="49">
        <v>0.65710148423974324</v>
      </c>
    </row>
    <row r="136" spans="12:40" x14ac:dyDescent="0.35">
      <c r="L136" s="46"/>
      <c r="M136" s="47">
        <v>0.25000000000000006</v>
      </c>
      <c r="N136" s="46">
        <v>0.50059757263144922</v>
      </c>
      <c r="O136" s="46">
        <v>0.55432928268845305</v>
      </c>
      <c r="P136" s="48">
        <v>0.57603465273308119</v>
      </c>
      <c r="Q136" s="48">
        <v>0.58839217367191954</v>
      </c>
      <c r="R136" s="48">
        <v>0.60269812665450451</v>
      </c>
      <c r="S136" s="19">
        <v>0.61138676619629895</v>
      </c>
      <c r="T136" s="46">
        <v>0.61705811739779082</v>
      </c>
      <c r="U136" s="48">
        <v>0.62307788843388512</v>
      </c>
      <c r="V136" s="48">
        <v>0.62964410364591028</v>
      </c>
      <c r="W136" s="48">
        <v>0.63518783181584892</v>
      </c>
      <c r="X136" s="19">
        <v>0.6400789522631084</v>
      </c>
      <c r="Y136" s="48">
        <v>0.64434332828280472</v>
      </c>
      <c r="Z136" s="48">
        <v>0.64809095373271475</v>
      </c>
      <c r="AA136" s="48">
        <v>0.65110359446002819</v>
      </c>
      <c r="AB136" s="48">
        <v>0.65353012011782174</v>
      </c>
      <c r="AC136" s="48">
        <v>0.65551633840696699</v>
      </c>
      <c r="AD136" s="46">
        <v>0.65706274681530308</v>
      </c>
      <c r="AE136" s="48">
        <v>0.65822013064127016</v>
      </c>
      <c r="AF136" s="48">
        <v>0.65904687549110919</v>
      </c>
      <c r="AG136" s="48">
        <v>0.65968225548249115</v>
      </c>
      <c r="AH136" s="19">
        <v>0.66016318547289043</v>
      </c>
      <c r="AI136" s="48">
        <v>0.66056450368656683</v>
      </c>
      <c r="AJ136" s="48">
        <v>0.66090218033930737</v>
      </c>
      <c r="AK136" s="48">
        <v>0.66118697231948542</v>
      </c>
      <c r="AL136" s="48">
        <v>0.66144809323874332</v>
      </c>
      <c r="AM136" s="19">
        <v>0.66166635177144795</v>
      </c>
      <c r="AN136" s="49">
        <v>0.66166635177144795</v>
      </c>
    </row>
    <row r="137" spans="12:40" x14ac:dyDescent="0.35">
      <c r="L137" s="46">
        <f>M36</f>
        <v>1</v>
      </c>
      <c r="M137" s="47">
        <v>0.50000000000000022</v>
      </c>
      <c r="N137" s="46">
        <v>0.707696437195099</v>
      </c>
      <c r="O137" s="46">
        <v>0.67920488049540495</v>
      </c>
      <c r="P137" s="48">
        <v>0.67475834394905287</v>
      </c>
      <c r="Q137" s="48">
        <v>0.67255574718816402</v>
      </c>
      <c r="R137" s="48">
        <v>0.6704381989640501</v>
      </c>
      <c r="S137" s="19">
        <v>0.66945061975195364</v>
      </c>
      <c r="T137" s="46">
        <v>0.66889960775483759</v>
      </c>
      <c r="U137" s="48">
        <v>0.668339590119995</v>
      </c>
      <c r="V137" s="48">
        <v>0.66779365250556544</v>
      </c>
      <c r="W137" s="48">
        <v>0.66749540853386635</v>
      </c>
      <c r="X137" s="19">
        <v>0.66725229061786029</v>
      </c>
      <c r="Y137" s="48">
        <v>0.66711961225880489</v>
      </c>
      <c r="Z137" s="48">
        <v>0.6670133935605892</v>
      </c>
      <c r="AA137" s="48">
        <v>0.66689334773494158</v>
      </c>
      <c r="AB137" s="48">
        <v>0.66685451438087429</v>
      </c>
      <c r="AC137" s="48">
        <v>0.66679558526492633</v>
      </c>
      <c r="AD137" s="46">
        <v>0.66677895598240411</v>
      </c>
      <c r="AE137" s="48">
        <v>0.66676552435782754</v>
      </c>
      <c r="AF137" s="48">
        <v>0.66673630255588079</v>
      </c>
      <c r="AG137" s="48">
        <v>0.66672291720650523</v>
      </c>
      <c r="AH137" s="19">
        <v>0.66671162021479968</v>
      </c>
      <c r="AI137" s="48">
        <v>0.66670618975118179</v>
      </c>
      <c r="AJ137" s="48">
        <v>0.66670359176399585</v>
      </c>
      <c r="AK137" s="48">
        <v>0.66671108637610932</v>
      </c>
      <c r="AL137" s="48">
        <v>0.66670414156460933</v>
      </c>
      <c r="AM137" s="19">
        <v>0.6667065400062836</v>
      </c>
      <c r="AN137" s="49">
        <v>0.6667065400062836</v>
      </c>
    </row>
    <row r="138" spans="12:40" x14ac:dyDescent="0.35">
      <c r="L138" s="46"/>
      <c r="M138" s="47">
        <v>0.75000000000000044</v>
      </c>
      <c r="N138" s="46">
        <v>0.86649102861690386</v>
      </c>
      <c r="O138" s="46">
        <v>0.79473266439653578</v>
      </c>
      <c r="P138" s="48">
        <v>0.76656463939706865</v>
      </c>
      <c r="Q138" s="48">
        <v>0.75148246711030109</v>
      </c>
      <c r="R138" s="48">
        <v>0.73478648688386328</v>
      </c>
      <c r="S138" s="19">
        <v>0.72505719899858767</v>
      </c>
      <c r="T138" s="46">
        <v>0.71857430799613664</v>
      </c>
      <c r="U138" s="48">
        <v>0.71196274758687328</v>
      </c>
      <c r="V138" s="48">
        <v>0.70502547816511718</v>
      </c>
      <c r="W138" s="48">
        <v>0.69899219106058408</v>
      </c>
      <c r="X138" s="19">
        <v>0.69392046320523348</v>
      </c>
      <c r="Y138" s="48">
        <v>0.68937963342225572</v>
      </c>
      <c r="Z138" s="48">
        <v>0.68558068945936768</v>
      </c>
      <c r="AA138" s="48">
        <v>0.68254579472570132</v>
      </c>
      <c r="AB138" s="48">
        <v>0.68002998065428288</v>
      </c>
      <c r="AC138" s="48">
        <v>0.67800621043455378</v>
      </c>
      <c r="AD138" s="46">
        <v>0.67642685117895174</v>
      </c>
      <c r="AE138" s="48">
        <v>0.67523143729064361</v>
      </c>
      <c r="AF138" s="48">
        <v>0.67437173894866331</v>
      </c>
      <c r="AG138" s="48">
        <v>0.67374119812616218</v>
      </c>
      <c r="AH138" s="19">
        <v>0.67323289328259517</v>
      </c>
      <c r="AI138" s="48">
        <v>0.67282433115100826</v>
      </c>
      <c r="AJ138" s="48">
        <v>0.67249373560293413</v>
      </c>
      <c r="AK138" s="48">
        <v>0.67220138388813266</v>
      </c>
      <c r="AL138" s="48">
        <v>0.67194597687196622</v>
      </c>
      <c r="AM138" s="19">
        <v>0.67171193392546713</v>
      </c>
      <c r="AN138" s="49">
        <v>0.67171193392546713</v>
      </c>
    </row>
    <row r="139" spans="12:40" x14ac:dyDescent="0.35">
      <c r="L139" s="46"/>
      <c r="M139" s="47">
        <v>0.90000000000000058</v>
      </c>
      <c r="N139" s="46">
        <v>0.94867257127854288</v>
      </c>
      <c r="O139" s="46">
        <v>0.87830373557154751</v>
      </c>
      <c r="P139" s="48">
        <v>0.8395636439716907</v>
      </c>
      <c r="Q139" s="48">
        <v>0.81594694654439903</v>
      </c>
      <c r="R139" s="48">
        <v>0.78833670050469484</v>
      </c>
      <c r="S139" s="19">
        <v>0.77211450884984589</v>
      </c>
      <c r="T139" s="46">
        <v>0.76099639001575303</v>
      </c>
      <c r="U139" s="48">
        <v>0.74956273639731452</v>
      </c>
      <c r="V139" s="48">
        <v>0.73720538549714432</v>
      </c>
      <c r="W139" s="48">
        <v>0.72659269066673915</v>
      </c>
      <c r="X139" s="19">
        <v>0.71730423524011755</v>
      </c>
      <c r="Y139" s="48">
        <v>0.70905252328635926</v>
      </c>
      <c r="Z139" s="48">
        <v>0.7020430095403809</v>
      </c>
      <c r="AA139" s="48">
        <v>0.69645528852739758</v>
      </c>
      <c r="AB139" s="48">
        <v>0.69174526340121401</v>
      </c>
      <c r="AC139" s="48">
        <v>0.68798073677565386</v>
      </c>
      <c r="AD139" s="46">
        <v>0.6850117244677173</v>
      </c>
      <c r="AE139" s="48">
        <v>0.68279637624658673</v>
      </c>
      <c r="AF139" s="48">
        <v>0.68120270145545236</v>
      </c>
      <c r="AG139" s="48">
        <v>0.68003540917981564</v>
      </c>
      <c r="AH139" s="19">
        <v>0.67909196500403357</v>
      </c>
      <c r="AI139" s="48">
        <v>0.6783300331696005</v>
      </c>
      <c r="AJ139" s="48">
        <v>0.67767195011051329</v>
      </c>
      <c r="AK139" s="48">
        <v>0.67713977078006282</v>
      </c>
      <c r="AL139" s="48">
        <v>0.67665320471021206</v>
      </c>
      <c r="AM139" s="19">
        <v>0.67620487999940859</v>
      </c>
      <c r="AN139" s="49">
        <v>0.67620487999940859</v>
      </c>
    </row>
    <row r="140" spans="12:40" x14ac:dyDescent="0.35">
      <c r="L140" s="46"/>
      <c r="M140" s="47">
        <v>0.99000000000000066</v>
      </c>
      <c r="N140" s="46">
        <v>0.9950169764651291</v>
      </c>
      <c r="O140" s="46">
        <v>0.96379043787874763</v>
      </c>
      <c r="P140" s="48">
        <v>0.93141446284912965</v>
      </c>
      <c r="Q140" s="48">
        <v>0.90497125490601138</v>
      </c>
      <c r="R140" s="48">
        <v>0.86859027998128568</v>
      </c>
      <c r="S140" s="19">
        <v>0.84487727369523746</v>
      </c>
      <c r="T140" s="46">
        <v>0.82797579584423264</v>
      </c>
      <c r="U140" s="48">
        <v>0.80933908632439266</v>
      </c>
      <c r="V140" s="48">
        <v>0.78945186935168454</v>
      </c>
      <c r="W140" s="48">
        <v>0.77166380861634043</v>
      </c>
      <c r="X140" s="19">
        <v>0.75615991765016444</v>
      </c>
      <c r="Y140" s="48">
        <v>0.74198346396026582</v>
      </c>
      <c r="Z140" s="48">
        <v>0.72981537533654472</v>
      </c>
      <c r="AA140" s="48">
        <v>0.72000046804889783</v>
      </c>
      <c r="AB140" s="48">
        <v>0.71162912364954767</v>
      </c>
      <c r="AC140" s="48">
        <v>0.70491800660039472</v>
      </c>
      <c r="AD140" s="46">
        <v>0.69962500681360651</v>
      </c>
      <c r="AE140" s="48">
        <v>0.69568540540803314</v>
      </c>
      <c r="AF140" s="48">
        <v>0.69289310924857039</v>
      </c>
      <c r="AG140" s="48">
        <v>0.69077686963437968</v>
      </c>
      <c r="AH140" s="19">
        <v>0.68909921385658746</v>
      </c>
      <c r="AI140" s="48">
        <v>0.68770003564076765</v>
      </c>
      <c r="AJ140" s="48">
        <v>0.68655983704406454</v>
      </c>
      <c r="AK140" s="48">
        <v>0.68555153574403416</v>
      </c>
      <c r="AL140" s="48">
        <v>0.68470339024386495</v>
      </c>
      <c r="AM140" s="19">
        <v>0.68391744578719493</v>
      </c>
      <c r="AN140" s="49">
        <v>0.68391744578719493</v>
      </c>
    </row>
    <row r="141" spans="12:40" x14ac:dyDescent="0.35">
      <c r="L141" s="50"/>
      <c r="M141" s="51">
        <v>0.999</v>
      </c>
      <c r="N141" s="50">
        <v>0.99948477175547878</v>
      </c>
      <c r="O141" s="50">
        <v>0.98894901383947575</v>
      </c>
      <c r="P141" s="52">
        <v>0.96934500846734017</v>
      </c>
      <c r="Q141" s="52">
        <v>0.94846299943461509</v>
      </c>
      <c r="R141" s="52">
        <v>0.91568876253773457</v>
      </c>
      <c r="S141" s="30">
        <v>0.88964877994516411</v>
      </c>
      <c r="T141" s="50">
        <v>0.8707449127364062</v>
      </c>
      <c r="U141" s="52">
        <v>0.84941963696086686</v>
      </c>
      <c r="V141" s="52">
        <v>0.82454817459555541</v>
      </c>
      <c r="W141" s="52">
        <v>0.80316689822710818</v>
      </c>
      <c r="X141" s="30">
        <v>0.78353561618594203</v>
      </c>
      <c r="Y141" s="52">
        <v>0.76502662409220168</v>
      </c>
      <c r="Z141" s="52">
        <v>0.74948442648776137</v>
      </c>
      <c r="AA141" s="52">
        <v>0.73673555312772654</v>
      </c>
      <c r="AB141" s="52">
        <v>0.72574685103375491</v>
      </c>
      <c r="AC141" s="52">
        <v>0.71678648405120982</v>
      </c>
      <c r="AD141" s="50">
        <v>0.71022123588744823</v>
      </c>
      <c r="AE141" s="52">
        <v>0.70494261606248987</v>
      </c>
      <c r="AF141" s="52">
        <v>0.7012114819201114</v>
      </c>
      <c r="AG141" s="52">
        <v>0.69835712583213805</v>
      </c>
      <c r="AH141" s="30">
        <v>0.69623431100249589</v>
      </c>
      <c r="AI141" s="52">
        <v>0.69451152905356339</v>
      </c>
      <c r="AJ141" s="52">
        <v>0.69303148645892432</v>
      </c>
      <c r="AK141" s="52">
        <v>0.69170145455741849</v>
      </c>
      <c r="AL141" s="52">
        <v>0.69060526740222572</v>
      </c>
      <c r="AM141" s="30">
        <v>0.68955922427453575</v>
      </c>
      <c r="AN141" s="53">
        <v>0.68955922427453575</v>
      </c>
    </row>
    <row r="142" spans="12:40" x14ac:dyDescent="0.35">
      <c r="L142" s="71"/>
      <c r="M142" s="72">
        <v>1E-3</v>
      </c>
      <c r="N142" s="71">
        <v>3.1473920672607542E-2</v>
      </c>
      <c r="O142" s="71">
        <v>0.14162570602041874</v>
      </c>
      <c r="P142" s="73">
        <v>0.22322105625146355</v>
      </c>
      <c r="Q142" s="73">
        <v>0.28135038968995263</v>
      </c>
      <c r="R142" s="73">
        <v>0.35169766469280622</v>
      </c>
      <c r="S142" s="74">
        <v>0.39450116812153346</v>
      </c>
      <c r="T142" s="71">
        <v>0.42420675362328375</v>
      </c>
      <c r="U142" s="73">
        <v>0.45411210464680662</v>
      </c>
      <c r="V142" s="73">
        <v>0.48737272942002502</v>
      </c>
      <c r="W142" s="73">
        <v>0.51486519197566116</v>
      </c>
      <c r="X142" s="74">
        <v>0.53953110489163114</v>
      </c>
      <c r="Y142" s="73">
        <v>0.56072088176080348</v>
      </c>
      <c r="Z142" s="73">
        <v>0.57861436618345008</v>
      </c>
      <c r="AA142" s="73">
        <v>0.59319168688348745</v>
      </c>
      <c r="AB142" s="73">
        <v>0.60493580083379916</v>
      </c>
      <c r="AC142" s="73">
        <v>0.61443030727374548</v>
      </c>
      <c r="AD142" s="71">
        <v>0.62159591510584822</v>
      </c>
      <c r="AE142" s="73">
        <v>0.62721440567750242</v>
      </c>
      <c r="AF142" s="73">
        <v>0.63105613687964368</v>
      </c>
      <c r="AG142" s="73">
        <v>0.63401427281654921</v>
      </c>
      <c r="AH142" s="74">
        <v>0.63629333775728292</v>
      </c>
      <c r="AI142" s="73">
        <v>0.6382546629353868</v>
      </c>
      <c r="AJ142" s="73">
        <v>0.63977589163387272</v>
      </c>
      <c r="AK142" s="73">
        <v>0.64122587284850607</v>
      </c>
      <c r="AL142" s="73">
        <v>0.64243912285558991</v>
      </c>
      <c r="AM142" s="74">
        <v>0.64355222176238647</v>
      </c>
      <c r="AN142" s="45">
        <v>0.64355222176238647</v>
      </c>
    </row>
    <row r="143" spans="12:40" x14ac:dyDescent="0.35">
      <c r="L143" s="75"/>
      <c r="M143" s="76">
        <v>0.01</v>
      </c>
      <c r="N143" s="75">
        <v>0.10003388741131972</v>
      </c>
      <c r="O143" s="75">
        <v>0.24762309537951094</v>
      </c>
      <c r="P143" s="77">
        <v>0.32809657693610988</v>
      </c>
      <c r="Q143" s="77">
        <v>0.37483402547113864</v>
      </c>
      <c r="R143" s="77">
        <v>0.42978279889553739</v>
      </c>
      <c r="S143" s="78">
        <v>0.46326109397177617</v>
      </c>
      <c r="T143" s="75">
        <v>0.4852621683276287</v>
      </c>
      <c r="U143" s="77">
        <v>0.50769837943497409</v>
      </c>
      <c r="V143" s="77">
        <v>0.53288414539463591</v>
      </c>
      <c r="W143" s="77">
        <v>0.55361519308544893</v>
      </c>
      <c r="X143" s="78">
        <v>0.57151240614154242</v>
      </c>
      <c r="Y143" s="77">
        <v>0.58721698746515361</v>
      </c>
      <c r="Z143" s="77">
        <v>0.60072641556561279</v>
      </c>
      <c r="AA143" s="77">
        <v>0.61161960305032315</v>
      </c>
      <c r="AB143" s="77">
        <v>0.62042540105848965</v>
      </c>
      <c r="AC143" s="77">
        <v>0.62753796973144493</v>
      </c>
      <c r="AD143" s="75">
        <v>0.63302024780417354</v>
      </c>
      <c r="AE143" s="77">
        <v>0.63707979803605019</v>
      </c>
      <c r="AF143" s="77">
        <v>0.63996046017867969</v>
      </c>
      <c r="AG143" s="77">
        <v>0.64216835430257602</v>
      </c>
      <c r="AH143" s="78">
        <v>0.64388734341011589</v>
      </c>
      <c r="AI143" s="77">
        <v>0.64530084099423168</v>
      </c>
      <c r="AJ143" s="77">
        <v>0.64647974610671488</v>
      </c>
      <c r="AK143" s="77">
        <v>0.64745103572106022</v>
      </c>
      <c r="AL143" s="77">
        <v>0.6483840560005939</v>
      </c>
      <c r="AM143" s="78">
        <v>0.64919680266111612</v>
      </c>
      <c r="AN143" s="49">
        <v>0.64919680266111612</v>
      </c>
    </row>
    <row r="144" spans="12:40" x14ac:dyDescent="0.35">
      <c r="L144" s="75"/>
      <c r="M144" s="76">
        <v>9.9999999999999992E-2</v>
      </c>
      <c r="N144" s="75">
        <v>0.31589437005453613</v>
      </c>
      <c r="O144" s="75">
        <v>0.44040041950824771</v>
      </c>
      <c r="P144" s="77">
        <v>0.48396182713601382</v>
      </c>
      <c r="Q144" s="77">
        <v>0.50997050058544702</v>
      </c>
      <c r="R144" s="77">
        <v>0.53978212634227796</v>
      </c>
      <c r="S144" s="78">
        <v>0.55744838643594574</v>
      </c>
      <c r="T144" s="75">
        <v>0.56914023373986156</v>
      </c>
      <c r="U144" s="77">
        <v>0.58151915615962491</v>
      </c>
      <c r="V144" s="77">
        <v>0.59443295929630413</v>
      </c>
      <c r="W144" s="77">
        <v>0.60542363653171904</v>
      </c>
      <c r="X144" s="78">
        <v>0.61512602566162367</v>
      </c>
      <c r="Y144" s="77">
        <v>0.62353487251459117</v>
      </c>
      <c r="Z144" s="77">
        <v>0.63089264615676688</v>
      </c>
      <c r="AA144" s="77">
        <v>0.63667976895387635</v>
      </c>
      <c r="AB144" s="77">
        <v>0.64145477987020816</v>
      </c>
      <c r="AC144" s="77">
        <v>0.64530799102562442</v>
      </c>
      <c r="AD144" s="75">
        <v>0.6482738892203902</v>
      </c>
      <c r="AE144" s="77">
        <v>0.65052909338228759</v>
      </c>
      <c r="AF144" s="77">
        <v>0.65209836176866742</v>
      </c>
      <c r="AG144" s="77">
        <v>0.65328997013946966</v>
      </c>
      <c r="AH144" s="78">
        <v>0.65422070098882279</v>
      </c>
      <c r="AI144" s="77">
        <v>0.6549815926417325</v>
      </c>
      <c r="AJ144" s="77">
        <v>0.65563137020258344</v>
      </c>
      <c r="AK144" s="77">
        <v>0.65616683984085034</v>
      </c>
      <c r="AL144" s="77">
        <v>0.65666799298336376</v>
      </c>
      <c r="AM144" s="78">
        <v>0.65710148423974324</v>
      </c>
      <c r="AN144" s="49">
        <v>0.65710148423974324</v>
      </c>
    </row>
    <row r="145" spans="12:40" x14ac:dyDescent="0.35">
      <c r="L145" s="75"/>
      <c r="M145" s="76">
        <v>0.25000000000000006</v>
      </c>
      <c r="N145" s="75">
        <v>0.50059757263144922</v>
      </c>
      <c r="O145" s="75">
        <v>0.55432928268845305</v>
      </c>
      <c r="P145" s="77">
        <v>0.57603465273308119</v>
      </c>
      <c r="Q145" s="77">
        <v>0.58839217367191954</v>
      </c>
      <c r="R145" s="77">
        <v>0.60269812665450451</v>
      </c>
      <c r="S145" s="78">
        <v>0.61138676619629895</v>
      </c>
      <c r="T145" s="75">
        <v>0.61705811739779082</v>
      </c>
      <c r="U145" s="77">
        <v>0.62307788843388512</v>
      </c>
      <c r="V145" s="77">
        <v>0.62964410364591028</v>
      </c>
      <c r="W145" s="77">
        <v>0.63518783181584892</v>
      </c>
      <c r="X145" s="78">
        <v>0.6400789522631084</v>
      </c>
      <c r="Y145" s="77">
        <v>0.64434332828280472</v>
      </c>
      <c r="Z145" s="77">
        <v>0.64809095373271475</v>
      </c>
      <c r="AA145" s="77">
        <v>0.65110359446002819</v>
      </c>
      <c r="AB145" s="77">
        <v>0.65353012011782174</v>
      </c>
      <c r="AC145" s="77">
        <v>0.65551633840696699</v>
      </c>
      <c r="AD145" s="75">
        <v>0.65706274681530308</v>
      </c>
      <c r="AE145" s="77">
        <v>0.65822013064127016</v>
      </c>
      <c r="AF145" s="77">
        <v>0.65904687549110919</v>
      </c>
      <c r="AG145" s="77">
        <v>0.65968225548249115</v>
      </c>
      <c r="AH145" s="78">
        <v>0.66016318547289043</v>
      </c>
      <c r="AI145" s="77">
        <v>0.66056450368656683</v>
      </c>
      <c r="AJ145" s="77">
        <v>0.66090218033930737</v>
      </c>
      <c r="AK145" s="77">
        <v>0.66118697231948542</v>
      </c>
      <c r="AL145" s="77">
        <v>0.66144809323874332</v>
      </c>
      <c r="AM145" s="78">
        <v>0.66166635177144795</v>
      </c>
      <c r="AN145" s="49">
        <v>0.66166635177144795</v>
      </c>
    </row>
    <row r="146" spans="12:40" x14ac:dyDescent="0.35">
      <c r="L146" s="75">
        <f>M37</f>
        <v>1.01</v>
      </c>
      <c r="M146" s="76">
        <v>0.50000000000000022</v>
      </c>
      <c r="N146" s="75">
        <v>0.707696437195099</v>
      </c>
      <c r="O146" s="75">
        <v>0.67920488049540495</v>
      </c>
      <c r="P146" s="77">
        <v>0.67475834394905287</v>
      </c>
      <c r="Q146" s="77">
        <v>0.67255574718816402</v>
      </c>
      <c r="R146" s="77">
        <v>0.6704381989640501</v>
      </c>
      <c r="S146" s="78">
        <v>0.66945061975195364</v>
      </c>
      <c r="T146" s="75">
        <v>0.66889960775483759</v>
      </c>
      <c r="U146" s="77">
        <v>0.668339590119995</v>
      </c>
      <c r="V146" s="77">
        <v>0.66779365250556544</v>
      </c>
      <c r="W146" s="77">
        <v>0.66749540853386635</v>
      </c>
      <c r="X146" s="78">
        <v>0.66725229061786029</v>
      </c>
      <c r="Y146" s="77">
        <v>0.66711961225880489</v>
      </c>
      <c r="Z146" s="77">
        <v>0.6670133935605892</v>
      </c>
      <c r="AA146" s="77">
        <v>0.66689334773494158</v>
      </c>
      <c r="AB146" s="77">
        <v>0.66685451438087429</v>
      </c>
      <c r="AC146" s="77">
        <v>0.66679558526492633</v>
      </c>
      <c r="AD146" s="75">
        <v>0.66677895598240411</v>
      </c>
      <c r="AE146" s="77">
        <v>0.66676552435782754</v>
      </c>
      <c r="AF146" s="77">
        <v>0.66673630255588079</v>
      </c>
      <c r="AG146" s="77">
        <v>0.66672291720650523</v>
      </c>
      <c r="AH146" s="78">
        <v>0.66671162021479968</v>
      </c>
      <c r="AI146" s="77">
        <v>0.66670618975118179</v>
      </c>
      <c r="AJ146" s="77">
        <v>0.66670359176399585</v>
      </c>
      <c r="AK146" s="77">
        <v>0.66671108637610932</v>
      </c>
      <c r="AL146" s="77">
        <v>0.66670414156460933</v>
      </c>
      <c r="AM146" s="78">
        <v>0.6667065400062836</v>
      </c>
      <c r="AN146" s="49">
        <v>0.6667065400062836</v>
      </c>
    </row>
    <row r="147" spans="12:40" x14ac:dyDescent="0.35">
      <c r="L147" s="75"/>
      <c r="M147" s="76">
        <v>0.75000000000000044</v>
      </c>
      <c r="N147" s="75">
        <v>0.86649102861690386</v>
      </c>
      <c r="O147" s="75">
        <v>0.79473266439653578</v>
      </c>
      <c r="P147" s="77">
        <v>0.76656463939706865</v>
      </c>
      <c r="Q147" s="77">
        <v>0.75148246711030109</v>
      </c>
      <c r="R147" s="77">
        <v>0.73478648688386328</v>
      </c>
      <c r="S147" s="78">
        <v>0.72505719899858767</v>
      </c>
      <c r="T147" s="75">
        <v>0.71857430799613664</v>
      </c>
      <c r="U147" s="77">
        <v>0.71196274758687328</v>
      </c>
      <c r="V147" s="77">
        <v>0.70502547816511718</v>
      </c>
      <c r="W147" s="77">
        <v>0.69899219106058408</v>
      </c>
      <c r="X147" s="78">
        <v>0.69392046320523348</v>
      </c>
      <c r="Y147" s="77">
        <v>0.68937963342225572</v>
      </c>
      <c r="Z147" s="77">
        <v>0.68558068945936768</v>
      </c>
      <c r="AA147" s="77">
        <v>0.68254579472570132</v>
      </c>
      <c r="AB147" s="77">
        <v>0.68002998065428288</v>
      </c>
      <c r="AC147" s="77">
        <v>0.67800621043455378</v>
      </c>
      <c r="AD147" s="75">
        <v>0.67642685117895174</v>
      </c>
      <c r="AE147" s="77">
        <v>0.67523143729064361</v>
      </c>
      <c r="AF147" s="77">
        <v>0.67437173894866331</v>
      </c>
      <c r="AG147" s="77">
        <v>0.67374119812616218</v>
      </c>
      <c r="AH147" s="78">
        <v>0.67323289328259517</v>
      </c>
      <c r="AI147" s="77">
        <v>0.67282433115100826</v>
      </c>
      <c r="AJ147" s="77">
        <v>0.67249373560293413</v>
      </c>
      <c r="AK147" s="77">
        <v>0.67220138388813266</v>
      </c>
      <c r="AL147" s="77">
        <v>0.67194597687196622</v>
      </c>
      <c r="AM147" s="78">
        <v>0.67171193392546713</v>
      </c>
      <c r="AN147" s="49">
        <v>0.67171193392546713</v>
      </c>
    </row>
    <row r="148" spans="12:40" x14ac:dyDescent="0.35">
      <c r="L148" s="75"/>
      <c r="M148" s="76">
        <v>0.90000000000000058</v>
      </c>
      <c r="N148" s="75">
        <v>0.94867257127854288</v>
      </c>
      <c r="O148" s="75">
        <v>0.87830373557154751</v>
      </c>
      <c r="P148" s="77">
        <v>0.8395636439716907</v>
      </c>
      <c r="Q148" s="77">
        <v>0.81594694654439903</v>
      </c>
      <c r="R148" s="77">
        <v>0.78833670050469484</v>
      </c>
      <c r="S148" s="78">
        <v>0.77211450884984589</v>
      </c>
      <c r="T148" s="75">
        <v>0.76099639001575303</v>
      </c>
      <c r="U148" s="77">
        <v>0.74956273639731452</v>
      </c>
      <c r="V148" s="77">
        <v>0.73720538549714432</v>
      </c>
      <c r="W148" s="77">
        <v>0.72659269066673915</v>
      </c>
      <c r="X148" s="78">
        <v>0.71730423524011755</v>
      </c>
      <c r="Y148" s="77">
        <v>0.70905252328635926</v>
      </c>
      <c r="Z148" s="77">
        <v>0.7020430095403809</v>
      </c>
      <c r="AA148" s="77">
        <v>0.69645528852739758</v>
      </c>
      <c r="AB148" s="77">
        <v>0.69174526340121401</v>
      </c>
      <c r="AC148" s="77">
        <v>0.68798073677565386</v>
      </c>
      <c r="AD148" s="75">
        <v>0.6850117244677173</v>
      </c>
      <c r="AE148" s="77">
        <v>0.68279637624658673</v>
      </c>
      <c r="AF148" s="77">
        <v>0.68120270145545236</v>
      </c>
      <c r="AG148" s="77">
        <v>0.68003540917981564</v>
      </c>
      <c r="AH148" s="78">
        <v>0.67909196500403357</v>
      </c>
      <c r="AI148" s="77">
        <v>0.6783300331696005</v>
      </c>
      <c r="AJ148" s="77">
        <v>0.67767195011051329</v>
      </c>
      <c r="AK148" s="77">
        <v>0.67713977078006282</v>
      </c>
      <c r="AL148" s="77">
        <v>0.67665320471021206</v>
      </c>
      <c r="AM148" s="78">
        <v>0.67620487999940859</v>
      </c>
      <c r="AN148" s="49">
        <v>0.67620487999940859</v>
      </c>
    </row>
    <row r="149" spans="12:40" x14ac:dyDescent="0.35">
      <c r="L149" s="75"/>
      <c r="M149" s="76">
        <v>0.99000000000000066</v>
      </c>
      <c r="N149" s="75">
        <v>0.9950169764651291</v>
      </c>
      <c r="O149" s="75">
        <v>0.96379043787874763</v>
      </c>
      <c r="P149" s="77">
        <v>0.93141446284912965</v>
      </c>
      <c r="Q149" s="77">
        <v>0.90497125490601138</v>
      </c>
      <c r="R149" s="77">
        <v>0.86859027998128568</v>
      </c>
      <c r="S149" s="78">
        <v>0.84487727369523746</v>
      </c>
      <c r="T149" s="75">
        <v>0.82797579584423264</v>
      </c>
      <c r="U149" s="77">
        <v>0.80933908632439266</v>
      </c>
      <c r="V149" s="77">
        <v>0.78945186935168454</v>
      </c>
      <c r="W149" s="77">
        <v>0.77166380861634043</v>
      </c>
      <c r="X149" s="78">
        <v>0.75615991765016444</v>
      </c>
      <c r="Y149" s="77">
        <v>0.74198346396026582</v>
      </c>
      <c r="Z149" s="77">
        <v>0.72981537533654472</v>
      </c>
      <c r="AA149" s="77">
        <v>0.72000046804889783</v>
      </c>
      <c r="AB149" s="77">
        <v>0.71162912364954767</v>
      </c>
      <c r="AC149" s="77">
        <v>0.70491800660039472</v>
      </c>
      <c r="AD149" s="75">
        <v>0.69962500681360651</v>
      </c>
      <c r="AE149" s="77">
        <v>0.69568540540803314</v>
      </c>
      <c r="AF149" s="77">
        <v>0.69289310924857039</v>
      </c>
      <c r="AG149" s="77">
        <v>0.69077686963437968</v>
      </c>
      <c r="AH149" s="78">
        <v>0.68909921385658746</v>
      </c>
      <c r="AI149" s="77">
        <v>0.68770003564076765</v>
      </c>
      <c r="AJ149" s="77">
        <v>0.68655983704406454</v>
      </c>
      <c r="AK149" s="77">
        <v>0.68555153574403416</v>
      </c>
      <c r="AL149" s="77">
        <v>0.68470339024386495</v>
      </c>
      <c r="AM149" s="78">
        <v>0.68391744578719493</v>
      </c>
      <c r="AN149" s="49">
        <v>0.68391744578719493</v>
      </c>
    </row>
    <row r="150" spans="12:40" x14ac:dyDescent="0.35">
      <c r="L150" s="79"/>
      <c r="M150" s="80">
        <v>0.999</v>
      </c>
      <c r="N150" s="79">
        <v>0.99948477175547878</v>
      </c>
      <c r="O150" s="79">
        <v>0.98894901383947575</v>
      </c>
      <c r="P150" s="81">
        <v>0.96934500846734017</v>
      </c>
      <c r="Q150" s="81">
        <v>0.94846299943461509</v>
      </c>
      <c r="R150" s="81">
        <v>0.91568876253773457</v>
      </c>
      <c r="S150" s="82">
        <v>0.88964877994516411</v>
      </c>
      <c r="T150" s="79">
        <v>0.8707449127364062</v>
      </c>
      <c r="U150" s="81">
        <v>0.84941963696086686</v>
      </c>
      <c r="V150" s="81">
        <v>0.82454817459555541</v>
      </c>
      <c r="W150" s="81">
        <v>0.80316689822710818</v>
      </c>
      <c r="X150" s="82">
        <v>0.78353561618594203</v>
      </c>
      <c r="Y150" s="81">
        <v>0.76502662409220168</v>
      </c>
      <c r="Z150" s="81">
        <v>0.74948442648776137</v>
      </c>
      <c r="AA150" s="81">
        <v>0.73673555312772654</v>
      </c>
      <c r="AB150" s="81">
        <v>0.72574685103375491</v>
      </c>
      <c r="AC150" s="81">
        <v>0.71678648405120982</v>
      </c>
      <c r="AD150" s="79">
        <v>0.71022123588744823</v>
      </c>
      <c r="AE150" s="81">
        <v>0.70494261606248987</v>
      </c>
      <c r="AF150" s="81">
        <v>0.7012114819201114</v>
      </c>
      <c r="AG150" s="81">
        <v>0.69835712583213805</v>
      </c>
      <c r="AH150" s="82">
        <v>0.69623431100249589</v>
      </c>
      <c r="AI150" s="81">
        <v>0.69451152905356339</v>
      </c>
      <c r="AJ150" s="81">
        <v>0.69303148645892432</v>
      </c>
      <c r="AK150" s="81">
        <v>0.69170145455741849</v>
      </c>
      <c r="AL150" s="81">
        <v>0.69060526740222572</v>
      </c>
      <c r="AM150" s="82">
        <v>0.68955922427453575</v>
      </c>
      <c r="AN150" s="53">
        <v>0.68955922427453575</v>
      </c>
    </row>
    <row r="152" spans="12:40" x14ac:dyDescent="0.35">
      <c r="M152" s="109"/>
    </row>
    <row r="153" spans="12:40" x14ac:dyDescent="0.35">
      <c r="M153" s="2" t="s">
        <v>32</v>
      </c>
    </row>
    <row r="154" spans="12:40" x14ac:dyDescent="0.35">
      <c r="M154" s="34" t="s">
        <v>13</v>
      </c>
    </row>
    <row r="155" spans="12:40" x14ac:dyDescent="0.35">
      <c r="M155" s="110">
        <v>0</v>
      </c>
    </row>
    <row r="156" spans="12:40" x14ac:dyDescent="0.35">
      <c r="M156" s="111">
        <v>1E-3</v>
      </c>
    </row>
    <row r="157" spans="12:40" x14ac:dyDescent="0.35">
      <c r="M157" s="111">
        <v>3.0000000000000001E-3</v>
      </c>
    </row>
    <row r="158" spans="12:40" x14ac:dyDescent="0.35">
      <c r="M158" s="111">
        <v>6.0000000000000001E-3</v>
      </c>
    </row>
    <row r="159" spans="12:40" x14ac:dyDescent="0.35">
      <c r="M159" s="111">
        <v>0.01</v>
      </c>
    </row>
    <row r="160" spans="12:40" x14ac:dyDescent="0.35">
      <c r="M160" s="111">
        <v>0.02</v>
      </c>
    </row>
    <row r="161" spans="13:13" x14ac:dyDescent="0.35">
      <c r="M161" s="111">
        <v>0.03</v>
      </c>
    </row>
    <row r="162" spans="13:13" x14ac:dyDescent="0.35">
      <c r="M162" s="111">
        <v>0.04</v>
      </c>
    </row>
    <row r="163" spans="13:13" x14ac:dyDescent="0.35">
      <c r="M163" s="111">
        <v>0.05</v>
      </c>
    </row>
    <row r="164" spans="13:13" x14ac:dyDescent="0.35">
      <c r="M164" s="111">
        <v>6.0000000000000005E-2</v>
      </c>
    </row>
    <row r="165" spans="13:13" x14ac:dyDescent="0.35">
      <c r="M165" s="111">
        <v>7.0000000000000007E-2</v>
      </c>
    </row>
    <row r="166" spans="13:13" x14ac:dyDescent="0.35">
      <c r="M166" s="111">
        <v>0.08</v>
      </c>
    </row>
    <row r="167" spans="13:13" x14ac:dyDescent="0.35">
      <c r="M167" s="111">
        <v>0.09</v>
      </c>
    </row>
    <row r="168" spans="13:13" x14ac:dyDescent="0.35">
      <c r="M168" s="111">
        <v>9.9999999999999992E-2</v>
      </c>
    </row>
    <row r="169" spans="13:13" x14ac:dyDescent="0.35">
      <c r="M169" s="111">
        <v>0.10999999999999999</v>
      </c>
    </row>
    <row r="170" spans="13:13" x14ac:dyDescent="0.35">
      <c r="M170" s="111">
        <v>0.11999999999999998</v>
      </c>
    </row>
    <row r="171" spans="13:13" x14ac:dyDescent="0.35">
      <c r="M171" s="111">
        <v>0.12999999999999998</v>
      </c>
    </row>
    <row r="172" spans="13:13" x14ac:dyDescent="0.35">
      <c r="M172" s="111">
        <v>0.13999999999999999</v>
      </c>
    </row>
    <row r="173" spans="13:13" x14ac:dyDescent="0.35">
      <c r="M173" s="111">
        <v>0.15</v>
      </c>
    </row>
    <row r="174" spans="13:13" x14ac:dyDescent="0.35">
      <c r="M174" s="111">
        <v>0.16</v>
      </c>
    </row>
    <row r="175" spans="13:13" x14ac:dyDescent="0.35">
      <c r="M175" s="111">
        <v>0.17</v>
      </c>
    </row>
    <row r="176" spans="13:13" x14ac:dyDescent="0.35">
      <c r="M176" s="111">
        <v>0.18000000000000002</v>
      </c>
    </row>
    <row r="177" spans="13:13" x14ac:dyDescent="0.35">
      <c r="M177" s="111">
        <v>0.19000000000000003</v>
      </c>
    </row>
    <row r="178" spans="13:13" x14ac:dyDescent="0.35">
      <c r="M178" s="111">
        <v>0.20000000000000004</v>
      </c>
    </row>
    <row r="179" spans="13:13" x14ac:dyDescent="0.35">
      <c r="M179" s="111">
        <v>0.21000000000000005</v>
      </c>
    </row>
    <row r="180" spans="13:13" x14ac:dyDescent="0.35">
      <c r="M180" s="111">
        <v>0.22000000000000006</v>
      </c>
    </row>
    <row r="181" spans="13:13" x14ac:dyDescent="0.35">
      <c r="M181" s="111">
        <v>0.23000000000000007</v>
      </c>
    </row>
    <row r="182" spans="13:13" x14ac:dyDescent="0.35">
      <c r="M182" s="111">
        <v>0.24000000000000007</v>
      </c>
    </row>
    <row r="183" spans="13:13" x14ac:dyDescent="0.35">
      <c r="M183" s="111">
        <v>0.25000000000000006</v>
      </c>
    </row>
    <row r="184" spans="13:13" x14ac:dyDescent="0.35">
      <c r="M184" s="111">
        <v>0.26000000000000006</v>
      </c>
    </row>
    <row r="185" spans="13:13" x14ac:dyDescent="0.35">
      <c r="M185" s="111">
        <v>0.27000000000000007</v>
      </c>
    </row>
    <row r="186" spans="13:13" x14ac:dyDescent="0.35">
      <c r="M186" s="111">
        <v>0.28000000000000008</v>
      </c>
    </row>
    <row r="187" spans="13:13" x14ac:dyDescent="0.35">
      <c r="M187" s="111">
        <v>0.29000000000000009</v>
      </c>
    </row>
    <row r="188" spans="13:13" x14ac:dyDescent="0.35">
      <c r="M188" s="111">
        <v>0.3000000000000001</v>
      </c>
    </row>
    <row r="189" spans="13:13" x14ac:dyDescent="0.35">
      <c r="M189" s="111">
        <v>0.31000000000000011</v>
      </c>
    </row>
    <row r="190" spans="13:13" x14ac:dyDescent="0.35">
      <c r="M190" s="111">
        <v>0.32000000000000012</v>
      </c>
    </row>
    <row r="191" spans="13:13" x14ac:dyDescent="0.35">
      <c r="M191" s="111">
        <v>0.33000000000000013</v>
      </c>
    </row>
    <row r="192" spans="13:13" x14ac:dyDescent="0.35">
      <c r="M192" s="111">
        <v>0.34000000000000014</v>
      </c>
    </row>
    <row r="193" spans="13:13" x14ac:dyDescent="0.35">
      <c r="M193" s="111">
        <v>0.35000000000000014</v>
      </c>
    </row>
    <row r="194" spans="13:13" x14ac:dyDescent="0.35">
      <c r="M194" s="111">
        <v>0.36000000000000015</v>
      </c>
    </row>
    <row r="195" spans="13:13" x14ac:dyDescent="0.35">
      <c r="M195" s="111">
        <v>0.37000000000000016</v>
      </c>
    </row>
    <row r="196" spans="13:13" x14ac:dyDescent="0.35">
      <c r="M196" s="111">
        <v>0.38000000000000017</v>
      </c>
    </row>
    <row r="197" spans="13:13" x14ac:dyDescent="0.35">
      <c r="M197" s="111">
        <v>0.39000000000000018</v>
      </c>
    </row>
    <row r="198" spans="13:13" x14ac:dyDescent="0.35">
      <c r="M198" s="111">
        <v>0.40000000000000019</v>
      </c>
    </row>
    <row r="199" spans="13:13" x14ac:dyDescent="0.35">
      <c r="M199" s="111">
        <v>0.4100000000000002</v>
      </c>
    </row>
    <row r="200" spans="13:13" x14ac:dyDescent="0.35">
      <c r="M200" s="111">
        <v>0.42000000000000021</v>
      </c>
    </row>
    <row r="201" spans="13:13" x14ac:dyDescent="0.35">
      <c r="M201" s="111">
        <v>0.43000000000000022</v>
      </c>
    </row>
    <row r="202" spans="13:13" x14ac:dyDescent="0.35">
      <c r="M202" s="111">
        <v>0.44000000000000022</v>
      </c>
    </row>
    <row r="203" spans="13:13" x14ac:dyDescent="0.35">
      <c r="M203" s="111">
        <v>0.45000000000000023</v>
      </c>
    </row>
    <row r="204" spans="13:13" x14ac:dyDescent="0.35">
      <c r="M204" s="111">
        <v>0.46000000000000024</v>
      </c>
    </row>
    <row r="205" spans="13:13" x14ac:dyDescent="0.35">
      <c r="M205" s="111">
        <v>0.47000000000000025</v>
      </c>
    </row>
    <row r="206" spans="13:13" x14ac:dyDescent="0.35">
      <c r="M206" s="111">
        <v>0.48000000000000026</v>
      </c>
    </row>
    <row r="207" spans="13:13" x14ac:dyDescent="0.35">
      <c r="M207" s="111">
        <v>0.49000000000000027</v>
      </c>
    </row>
    <row r="208" spans="13:13" x14ac:dyDescent="0.35">
      <c r="M208" s="111">
        <v>0.50000000000000022</v>
      </c>
    </row>
    <row r="209" spans="13:13" x14ac:dyDescent="0.35">
      <c r="M209" s="111">
        <v>0.51000000000000023</v>
      </c>
    </row>
    <row r="210" spans="13:13" x14ac:dyDescent="0.35">
      <c r="M210" s="111">
        <v>0.52000000000000024</v>
      </c>
    </row>
    <row r="211" spans="13:13" x14ac:dyDescent="0.35">
      <c r="M211" s="111">
        <v>0.53000000000000025</v>
      </c>
    </row>
    <row r="212" spans="13:13" x14ac:dyDescent="0.35">
      <c r="M212" s="111">
        <v>0.54000000000000026</v>
      </c>
    </row>
    <row r="213" spans="13:13" x14ac:dyDescent="0.35">
      <c r="M213" s="111">
        <v>0.55000000000000027</v>
      </c>
    </row>
    <row r="214" spans="13:13" x14ac:dyDescent="0.35">
      <c r="M214" s="111">
        <v>0.56000000000000028</v>
      </c>
    </row>
    <row r="215" spans="13:13" x14ac:dyDescent="0.35">
      <c r="M215" s="111">
        <v>0.57000000000000028</v>
      </c>
    </row>
    <row r="216" spans="13:13" x14ac:dyDescent="0.35">
      <c r="M216" s="111">
        <v>0.58000000000000029</v>
      </c>
    </row>
    <row r="217" spans="13:13" x14ac:dyDescent="0.35">
      <c r="M217" s="111">
        <v>0.5900000000000003</v>
      </c>
    </row>
    <row r="218" spans="13:13" x14ac:dyDescent="0.35">
      <c r="M218" s="111">
        <v>0.60000000000000031</v>
      </c>
    </row>
    <row r="219" spans="13:13" x14ac:dyDescent="0.35">
      <c r="M219" s="111">
        <v>0.61000000000000032</v>
      </c>
    </row>
    <row r="220" spans="13:13" x14ac:dyDescent="0.35">
      <c r="M220" s="111">
        <v>0.62000000000000033</v>
      </c>
    </row>
    <row r="221" spans="13:13" x14ac:dyDescent="0.35">
      <c r="M221" s="111">
        <v>0.63000000000000034</v>
      </c>
    </row>
    <row r="222" spans="13:13" x14ac:dyDescent="0.35">
      <c r="M222" s="111">
        <v>0.64000000000000035</v>
      </c>
    </row>
    <row r="223" spans="13:13" x14ac:dyDescent="0.35">
      <c r="M223" s="111">
        <v>0.65000000000000036</v>
      </c>
    </row>
    <row r="224" spans="13:13" x14ac:dyDescent="0.35">
      <c r="M224" s="111">
        <v>0.66000000000000036</v>
      </c>
    </row>
    <row r="225" spans="13:13" x14ac:dyDescent="0.35">
      <c r="M225" s="111">
        <v>0.67000000000000037</v>
      </c>
    </row>
    <row r="226" spans="13:13" x14ac:dyDescent="0.35">
      <c r="M226" s="111">
        <v>0.68000000000000038</v>
      </c>
    </row>
    <row r="227" spans="13:13" x14ac:dyDescent="0.35">
      <c r="M227" s="111">
        <v>0.69000000000000039</v>
      </c>
    </row>
    <row r="228" spans="13:13" x14ac:dyDescent="0.35">
      <c r="M228" s="111">
        <v>0.7000000000000004</v>
      </c>
    </row>
    <row r="229" spans="13:13" x14ac:dyDescent="0.35">
      <c r="M229" s="111">
        <v>0.71000000000000041</v>
      </c>
    </row>
    <row r="230" spans="13:13" x14ac:dyDescent="0.35">
      <c r="M230" s="111">
        <v>0.72000000000000042</v>
      </c>
    </row>
    <row r="231" spans="13:13" x14ac:dyDescent="0.35">
      <c r="M231" s="111">
        <v>0.73000000000000043</v>
      </c>
    </row>
    <row r="232" spans="13:13" x14ac:dyDescent="0.35">
      <c r="M232" s="111">
        <v>0.74000000000000044</v>
      </c>
    </row>
    <row r="233" spans="13:13" x14ac:dyDescent="0.35">
      <c r="M233" s="111">
        <v>0.75000000000000044</v>
      </c>
    </row>
    <row r="234" spans="13:13" x14ac:dyDescent="0.35">
      <c r="M234" s="111">
        <v>0.76000000000000045</v>
      </c>
    </row>
    <row r="235" spans="13:13" x14ac:dyDescent="0.35">
      <c r="M235" s="111">
        <v>0.77000000000000046</v>
      </c>
    </row>
    <row r="236" spans="13:13" x14ac:dyDescent="0.35">
      <c r="M236" s="111">
        <v>0.78000000000000047</v>
      </c>
    </row>
    <row r="237" spans="13:13" x14ac:dyDescent="0.35">
      <c r="M237" s="111">
        <v>0.79000000000000048</v>
      </c>
    </row>
    <row r="238" spans="13:13" x14ac:dyDescent="0.35">
      <c r="M238" s="111">
        <v>0.80000000000000049</v>
      </c>
    </row>
    <row r="239" spans="13:13" x14ac:dyDescent="0.35">
      <c r="M239" s="111">
        <v>0.8100000000000005</v>
      </c>
    </row>
    <row r="240" spans="13:13" x14ac:dyDescent="0.35">
      <c r="M240" s="111">
        <v>0.82000000000000051</v>
      </c>
    </row>
    <row r="241" spans="13:13" x14ac:dyDescent="0.35">
      <c r="M241" s="111">
        <v>0.83000000000000052</v>
      </c>
    </row>
    <row r="242" spans="13:13" x14ac:dyDescent="0.35">
      <c r="M242" s="111">
        <v>0.84000000000000052</v>
      </c>
    </row>
    <row r="243" spans="13:13" x14ac:dyDescent="0.35">
      <c r="M243" s="111">
        <v>0.85000000000000053</v>
      </c>
    </row>
    <row r="244" spans="13:13" x14ac:dyDescent="0.35">
      <c r="M244" s="111">
        <v>0.86000000000000054</v>
      </c>
    </row>
    <row r="245" spans="13:13" x14ac:dyDescent="0.35">
      <c r="M245" s="111">
        <v>0.87000000000000055</v>
      </c>
    </row>
    <row r="246" spans="13:13" x14ac:dyDescent="0.35">
      <c r="M246" s="111">
        <v>0.88000000000000056</v>
      </c>
    </row>
    <row r="247" spans="13:13" x14ac:dyDescent="0.35">
      <c r="M247" s="111">
        <v>0.89000000000000057</v>
      </c>
    </row>
    <row r="248" spans="13:13" x14ac:dyDescent="0.35">
      <c r="M248" s="111">
        <v>0.90000000000000058</v>
      </c>
    </row>
    <row r="249" spans="13:13" x14ac:dyDescent="0.35">
      <c r="M249" s="111">
        <v>0.91000000000000059</v>
      </c>
    </row>
    <row r="250" spans="13:13" x14ac:dyDescent="0.35">
      <c r="M250" s="111">
        <v>0.9200000000000006</v>
      </c>
    </row>
    <row r="251" spans="13:13" x14ac:dyDescent="0.35">
      <c r="M251" s="111">
        <v>0.9300000000000006</v>
      </c>
    </row>
    <row r="252" spans="13:13" x14ac:dyDescent="0.35">
      <c r="M252" s="111">
        <v>0.94000000000000061</v>
      </c>
    </row>
    <row r="253" spans="13:13" x14ac:dyDescent="0.35">
      <c r="M253" s="111">
        <v>0.95000000000000062</v>
      </c>
    </row>
    <row r="254" spans="13:13" x14ac:dyDescent="0.35">
      <c r="M254" s="111">
        <v>0.96000000000000063</v>
      </c>
    </row>
    <row r="255" spans="13:13" x14ac:dyDescent="0.35">
      <c r="M255" s="111">
        <v>0.97000000000000064</v>
      </c>
    </row>
    <row r="256" spans="13:13" x14ac:dyDescent="0.35">
      <c r="M256" s="111">
        <v>0.98000000000000065</v>
      </c>
    </row>
    <row r="257" spans="13:13" x14ac:dyDescent="0.35">
      <c r="M257" s="111">
        <v>0.99000000000000066</v>
      </c>
    </row>
    <row r="258" spans="13:13" x14ac:dyDescent="0.35">
      <c r="M258" s="111">
        <v>0.99399999999999999</v>
      </c>
    </row>
    <row r="259" spans="13:13" x14ac:dyDescent="0.35">
      <c r="M259" s="111">
        <v>0.997</v>
      </c>
    </row>
    <row r="260" spans="13:13" x14ac:dyDescent="0.35">
      <c r="M260" s="111">
        <v>0.999</v>
      </c>
    </row>
    <row r="261" spans="13:13" x14ac:dyDescent="0.35">
      <c r="M261" s="112">
        <v>1</v>
      </c>
    </row>
    <row r="262" spans="13:13" x14ac:dyDescent="0.35">
      <c r="M262" s="113"/>
    </row>
    <row r="263" spans="13:13" x14ac:dyDescent="0.35">
      <c r="M263" s="109"/>
    </row>
    <row r="264" spans="13:13" x14ac:dyDescent="0.35">
      <c r="M264" s="23"/>
    </row>
    <row r="265" spans="13:13" x14ac:dyDescent="0.35">
      <c r="M265" s="114" t="s">
        <v>14</v>
      </c>
    </row>
    <row r="266" spans="13:13" x14ac:dyDescent="0.35">
      <c r="M266" s="115">
        <f>IF(M155=0,M$5*M$2,IF(M155=1,M$5*M$4,M$5*(M$2+M$4*EXP(M$13+M$14*LN(M155/(1-M155))+M$15*(M155-0.5)*LN(M155/(1-M155))+M$16*(M155-0.5)+M$17*(M155-0.5)^2+M$18*(M155-0.5)^2*LN(M155/(1-M155))+M$19*(M155-0.5)^3+M$20*(M155-0.5)^3*LN(M155/(1-M155))+M$21*(M155-0.5)^4))/(1+EXP(M$13+M$14*LN(M155/(1-M155))+M$15*(M155-0.5)*LN(M155/(1-M155))+M$16*(M155-0.5)+M$17*(M155-0.5)^2+M$18*(M155-0.5)^2*LN(M155/(1-M155))+M$19*(M155-0.5)^3+M$20*(M155-0.5)^3*LN(M155/(1-M155))+M$21*(M155-0.5)^4))))</f>
        <v>0</v>
      </c>
    </row>
    <row r="267" spans="13:13" x14ac:dyDescent="0.35">
      <c r="M267" s="48">
        <f t="shared" ref="M267:M330" si="1">IF(M156=0,M$5*M$2,IF(M156=1,M$5*M$4,M$5*(M$2+M$4*EXP(M$13+M$14*LN(M156/(1-M156))+M$15*(M156-0.5)*LN(M156/(1-M156))+M$16*(M156-0.5)+M$17*(M156-0.5)^2+M$18*(M156-0.5)^2*LN(M156/(1-M156))+M$19*(M156-0.5)^3+M$20*(M156-0.5)^3*LN(M156/(1-M156))+M$21*(M156-0.5)^4))/(1+EXP(M$13+M$14*LN(M156/(1-M156))+M$15*(M156-0.5)*LN(M156/(1-M156))+M$16*(M156-0.5)+M$17*(M156-0.5)^2+M$18*(M156-0.5)^2*LN(M156/(1-M156))+M$19*(M156-0.5)^3+M$20*(M156-0.5)^3*LN(M156/(1-M156))+M$21*(M156-0.5)^4))))</f>
        <v>2.8325141204082525</v>
      </c>
    </row>
    <row r="268" spans="13:13" x14ac:dyDescent="0.35">
      <c r="M268" s="48">
        <f t="shared" si="1"/>
        <v>3.6985571821686927</v>
      </c>
    </row>
    <row r="269" spans="13:13" x14ac:dyDescent="0.35">
      <c r="M269" s="48">
        <f t="shared" si="1"/>
        <v>4.373579041787508</v>
      </c>
    </row>
    <row r="270" spans="13:13" x14ac:dyDescent="0.35">
      <c r="M270" s="48">
        <f t="shared" si="1"/>
        <v>4.9524619075900471</v>
      </c>
    </row>
    <row r="271" spans="13:13" x14ac:dyDescent="0.35">
      <c r="M271" s="48">
        <f t="shared" si="1"/>
        <v>5.8758385400958923</v>
      </c>
    </row>
    <row r="272" spans="13:13" x14ac:dyDescent="0.35">
      <c r="M272" s="48">
        <f t="shared" si="1"/>
        <v>6.5034481872999228</v>
      </c>
    </row>
    <row r="273" spans="13:13" x14ac:dyDescent="0.35">
      <c r="M273" s="48">
        <f t="shared" si="1"/>
        <v>6.9926611213856926</v>
      </c>
    </row>
    <row r="274" spans="13:13" x14ac:dyDescent="0.35">
      <c r="M274" s="48">
        <f t="shared" si="1"/>
        <v>7.3984051226769081</v>
      </c>
    </row>
    <row r="275" spans="13:13" x14ac:dyDescent="0.35">
      <c r="M275" s="48">
        <f t="shared" si="1"/>
        <v>7.7472385907141676</v>
      </c>
    </row>
    <row r="276" spans="13:13" x14ac:dyDescent="0.35">
      <c r="M276" s="48">
        <f t="shared" si="1"/>
        <v>8.0543626092753158</v>
      </c>
    </row>
    <row r="277" spans="13:13" x14ac:dyDescent="0.35">
      <c r="M277" s="48">
        <f t="shared" si="1"/>
        <v>8.3294408748352158</v>
      </c>
    </row>
    <row r="278" spans="13:13" x14ac:dyDescent="0.35">
      <c r="M278" s="48">
        <f t="shared" si="1"/>
        <v>8.5790735412042682</v>
      </c>
    </row>
    <row r="279" spans="13:13" x14ac:dyDescent="0.35">
      <c r="M279" s="48">
        <f t="shared" si="1"/>
        <v>8.8080083901647459</v>
      </c>
    </row>
    <row r="280" spans="13:13" x14ac:dyDescent="0.35">
      <c r="M280" s="48">
        <f t="shared" si="1"/>
        <v>9.0197966277569108</v>
      </c>
    </row>
    <row r="281" spans="13:13" x14ac:dyDescent="0.35">
      <c r="M281" s="48">
        <f t="shared" si="1"/>
        <v>9.2171759673179814</v>
      </c>
    </row>
    <row r="282" spans="13:13" x14ac:dyDescent="0.35">
      <c r="M282" s="48">
        <f t="shared" si="1"/>
        <v>9.4023081174356324</v>
      </c>
    </row>
    <row r="283" spans="13:13" x14ac:dyDescent="0.35">
      <c r="M283" s="48">
        <f t="shared" si="1"/>
        <v>9.5769332389869568</v>
      </c>
    </row>
    <row r="284" spans="13:13" x14ac:dyDescent="0.35">
      <c r="M284" s="48">
        <f t="shared" si="1"/>
        <v>9.7424744471061882</v>
      </c>
    </row>
    <row r="285" spans="13:13" x14ac:dyDescent="0.35">
      <c r="M285" s="48">
        <f t="shared" si="1"/>
        <v>9.9001108942775051</v>
      </c>
    </row>
    <row r="286" spans="13:13" x14ac:dyDescent="0.35">
      <c r="M286" s="48">
        <f t="shared" si="1"/>
        <v>10.050830339341021</v>
      </c>
    </row>
    <row r="287" spans="13:13" x14ac:dyDescent="0.35">
      <c r="M287" s="48">
        <f t="shared" si="1"/>
        <v>10.195467886957637</v>
      </c>
    </row>
    <row r="288" spans="13:13" x14ac:dyDescent="0.35">
      <c r="M288" s="48">
        <f t="shared" si="1"/>
        <v>10.334735142357072</v>
      </c>
    </row>
    <row r="289" spans="13:13" x14ac:dyDescent="0.35">
      <c r="M289" s="48">
        <f t="shared" si="1"/>
        <v>10.469242560849825</v>
      </c>
    </row>
    <row r="290" spans="13:13" x14ac:dyDescent="0.35">
      <c r="M290" s="48">
        <f t="shared" si="1"/>
        <v>10.599516861678882</v>
      </c>
    </row>
    <row r="291" spans="13:13" x14ac:dyDescent="0.35">
      <c r="M291" s="48">
        <f t="shared" si="1"/>
        <v>10.726014793994251</v>
      </c>
    </row>
    <row r="292" spans="13:13" x14ac:dyDescent="0.35">
      <c r="M292" s="48">
        <f t="shared" si="1"/>
        <v>10.849134160950641</v>
      </c>
    </row>
    <row r="293" spans="13:13" x14ac:dyDescent="0.35">
      <c r="M293" s="48">
        <f t="shared" si="1"/>
        <v>10.969222751518942</v>
      </c>
    </row>
    <row r="294" spans="13:13" x14ac:dyDescent="0.35">
      <c r="M294" s="48">
        <f t="shared" si="1"/>
        <v>11.086585653768864</v>
      </c>
    </row>
    <row r="295" spans="13:13" x14ac:dyDescent="0.35">
      <c r="M295" s="48">
        <f t="shared" si="1"/>
        <v>11.201491300511314</v>
      </c>
    </row>
    <row r="296" spans="13:13" x14ac:dyDescent="0.35">
      <c r="M296" s="48">
        <f t="shared" si="1"/>
        <v>11.314176510851347</v>
      </c>
    </row>
    <row r="297" spans="13:13" x14ac:dyDescent="0.35">
      <c r="M297" s="48">
        <f t="shared" si="1"/>
        <v>11.424850728147376</v>
      </c>
    </row>
    <row r="298" spans="13:13" x14ac:dyDescent="0.35">
      <c r="M298" s="48">
        <f t="shared" si="1"/>
        <v>11.53369960869532</v>
      </c>
    </row>
    <row r="299" spans="13:13" x14ac:dyDescent="0.35">
      <c r="M299" s="48">
        <f t="shared" si="1"/>
        <v>11.6408880811952</v>
      </c>
    </row>
    <row r="300" spans="13:13" x14ac:dyDescent="0.35">
      <c r="M300" s="48">
        <f t="shared" si="1"/>
        <v>11.746562971330469</v>
      </c>
    </row>
    <row r="301" spans="13:13" x14ac:dyDescent="0.35">
      <c r="M301" s="48">
        <f t="shared" si="1"/>
        <v>11.850855266255852</v>
      </c>
    </row>
    <row r="302" spans="13:13" x14ac:dyDescent="0.35">
      <c r="M302" s="48">
        <f t="shared" si="1"/>
        <v>11.95388207880468</v>
      </c>
    </row>
    <row r="303" spans="13:13" x14ac:dyDescent="0.35">
      <c r="M303" s="48">
        <f t="shared" si="1"/>
        <v>12.055748359622777</v>
      </c>
    </row>
    <row r="304" spans="13:13" x14ac:dyDescent="0.35">
      <c r="M304" s="48">
        <f t="shared" si="1"/>
        <v>12.156548396370589</v>
      </c>
    </row>
    <row r="305" spans="13:13" x14ac:dyDescent="0.35">
      <c r="M305" s="48">
        <f t="shared" si="1"/>
        <v>12.256367131995685</v>
      </c>
    </row>
    <row r="306" spans="13:13" x14ac:dyDescent="0.35">
      <c r="M306" s="48">
        <f t="shared" si="1"/>
        <v>12.355281328412197</v>
      </c>
    </row>
    <row r="307" spans="13:13" x14ac:dyDescent="0.35">
      <c r="M307" s="48">
        <f t="shared" si="1"/>
        <v>12.453360597396333</v>
      </c>
    </row>
    <row r="308" spans="13:13" x14ac:dyDescent="0.35">
      <c r="M308" s="48">
        <f t="shared" si="1"/>
        <v>12.550668316865895</v>
      </c>
    </row>
    <row r="309" spans="13:13" x14ac:dyDescent="0.35">
      <c r="M309" s="48">
        <f t="shared" si="1"/>
        <v>12.647262447765602</v>
      </c>
    </row>
    <row r="310" spans="13:13" x14ac:dyDescent="0.35">
      <c r="M310" s="48">
        <f t="shared" si="1"/>
        <v>12.743196264383217</v>
      </c>
    </row>
    <row r="311" spans="13:13" x14ac:dyDescent="0.35">
      <c r="M311" s="48">
        <f t="shared" si="1"/>
        <v>12.838519008961738</v>
      </c>
    </row>
    <row r="312" spans="13:13" x14ac:dyDescent="0.35">
      <c r="M312" s="48">
        <f t="shared" si="1"/>
        <v>12.933276479863403</v>
      </c>
    </row>
    <row r="313" spans="13:13" x14ac:dyDescent="0.35">
      <c r="M313" s="48">
        <f t="shared" si="1"/>
        <v>13.027511561213672</v>
      </c>
    </row>
    <row r="314" spans="13:13" x14ac:dyDescent="0.35">
      <c r="M314" s="48">
        <f t="shared" si="1"/>
        <v>13.121264700854963</v>
      </c>
    </row>
    <row r="315" spans="13:13" x14ac:dyDescent="0.35">
      <c r="M315" s="48">
        <f t="shared" si="1"/>
        <v>13.2145743425282</v>
      </c>
    </row>
    <row r="316" spans="13:13" x14ac:dyDescent="0.35">
      <c r="M316" s="48">
        <f t="shared" si="1"/>
        <v>13.307477317441883</v>
      </c>
    </row>
    <row r="317" spans="13:13" x14ac:dyDescent="0.35">
      <c r="M317" s="48">
        <f t="shared" si="1"/>
        <v>13.400009199757164</v>
      </c>
    </row>
    <row r="318" spans="13:13" x14ac:dyDescent="0.35">
      <c r="M318" s="48">
        <f t="shared" si="1"/>
        <v>13.492204629991667</v>
      </c>
    </row>
    <row r="319" spans="13:13" x14ac:dyDescent="0.35">
      <c r="M319" s="48">
        <f t="shared" si="1"/>
        <v>13.584097609907943</v>
      </c>
    </row>
    <row r="320" spans="13:13" x14ac:dyDescent="0.35">
      <c r="M320" s="48">
        <f t="shared" si="1"/>
        <v>13.675721772090817</v>
      </c>
    </row>
    <row r="321" spans="13:13" x14ac:dyDescent="0.35">
      <c r="M321" s="48">
        <f t="shared" si="1"/>
        <v>13.767110627120976</v>
      </c>
    </row>
    <row r="322" spans="13:13" x14ac:dyDescent="0.35">
      <c r="M322" s="48">
        <f t="shared" si="1"/>
        <v>13.858297791011248</v>
      </c>
    </row>
    <row r="323" spans="13:13" x14ac:dyDescent="0.35">
      <c r="M323" s="48">
        <f t="shared" si="1"/>
        <v>13.949317195381225</v>
      </c>
    </row>
    <row r="324" spans="13:13" x14ac:dyDescent="0.35">
      <c r="M324" s="48">
        <f t="shared" si="1"/>
        <v>14.040203282699869</v>
      </c>
    </row>
    <row r="325" spans="13:13" x14ac:dyDescent="0.35">
      <c r="M325" s="48">
        <f t="shared" si="1"/>
        <v>14.130991188821813</v>
      </c>
    </row>
    <row r="326" spans="13:13" x14ac:dyDescent="0.35">
      <c r="M326" s="48">
        <f t="shared" si="1"/>
        <v>14.22171691497894</v>
      </c>
    </row>
    <row r="327" spans="13:13" x14ac:dyDescent="0.35">
      <c r="M327" s="48">
        <f t="shared" si="1"/>
        <v>14.312417491364309</v>
      </c>
    </row>
    <row r="328" spans="13:13" x14ac:dyDescent="0.35">
      <c r="M328" s="48">
        <f t="shared" si="1"/>
        <v>14.403131134461312</v>
      </c>
    </row>
    <row r="329" spans="13:13" x14ac:dyDescent="0.35">
      <c r="M329" s="48">
        <f t="shared" si="1"/>
        <v>14.493897400329288</v>
      </c>
    </row>
    <row r="330" spans="13:13" x14ac:dyDescent="0.35">
      <c r="M330" s="48">
        <f t="shared" si="1"/>
        <v>14.584757336161836</v>
      </c>
    </row>
    <row r="331" spans="13:13" x14ac:dyDescent="0.35">
      <c r="M331" s="48">
        <f t="shared" ref="M331:M372" si="2">IF(M220=0,M$5*M$2,IF(M220=1,M$5*M$4,M$5*(M$2+M$4*EXP(M$13+M$14*LN(M220/(1-M220))+M$15*(M220-0.5)*LN(M220/(1-M220))+M$16*(M220-0.5)+M$17*(M220-0.5)^2+M$18*(M220-0.5)^2*LN(M220/(1-M220))+M$19*(M220-0.5)^3+M$20*(M220-0.5)^3*LN(M220/(1-M220))+M$21*(M220-0.5)^4))/(1+EXP(M$13+M$14*LN(M220/(1-M220))+M$15*(M220-0.5)*LN(M220/(1-M220))+M$16*(M220-0.5)+M$17*(M220-0.5)^2+M$18*(M220-0.5)^2*LN(M220/(1-M220))+M$19*(M220-0.5)^3+M$20*(M220-0.5)^3*LN(M220/(1-M220))+M$21*(M220-0.5)^4))))</f>
        <v>14.67575363259111</v>
      </c>
    </row>
    <row r="332" spans="13:13" x14ac:dyDescent="0.35">
      <c r="M332" s="48">
        <f t="shared" si="2"/>
        <v>14.766930779428804</v>
      </c>
    </row>
    <row r="333" spans="13:13" x14ac:dyDescent="0.35">
      <c r="M333" s="48">
        <f t="shared" si="2"/>
        <v>14.858335227822435</v>
      </c>
    </row>
    <row r="334" spans="13:13" x14ac:dyDescent="0.35">
      <c r="M334" s="48">
        <f t="shared" si="2"/>
        <v>14.950015562178406</v>
      </c>
    </row>
    <row r="335" spans="13:13" x14ac:dyDescent="0.35">
      <c r="M335" s="48">
        <f t="shared" si="2"/>
        <v>15.042022685678981</v>
      </c>
    </row>
    <row r="336" spans="13:13" x14ac:dyDescent="0.35">
      <c r="M336" s="48">
        <f t="shared" si="2"/>
        <v>15.134410023822735</v>
      </c>
    </row>
    <row r="337" spans="13:13" x14ac:dyDescent="0.35">
      <c r="M337" s="48">
        <f t="shared" si="2"/>
        <v>15.227233751178439</v>
      </c>
    </row>
    <row r="338" spans="13:13" x14ac:dyDescent="0.35">
      <c r="M338" s="48">
        <f t="shared" si="2"/>
        <v>15.320553047500892</v>
      </c>
    </row>
    <row r="339" spans="13:13" x14ac:dyDescent="0.35">
      <c r="M339" s="48">
        <f t="shared" si="2"/>
        <v>15.414430390567864</v>
      </c>
    </row>
    <row r="340" spans="13:13" x14ac:dyDescent="0.35">
      <c r="M340" s="48">
        <f t="shared" si="2"/>
        <v>15.508931894630562</v>
      </c>
    </row>
    <row r="341" spans="13:13" x14ac:dyDescent="0.35">
      <c r="M341" s="48">
        <f t="shared" si="2"/>
        <v>15.604127705320096</v>
      </c>
    </row>
    <row r="342" spans="13:13" x14ac:dyDescent="0.35">
      <c r="M342" s="48">
        <f t="shared" si="2"/>
        <v>15.700092464346755</v>
      </c>
    </row>
    <row r="343" spans="13:13" x14ac:dyDescent="0.35">
      <c r="M343" s="48">
        <f t="shared" si="2"/>
        <v>15.796905860538876</v>
      </c>
    </row>
    <row r="344" spans="13:13" x14ac:dyDescent="0.35">
      <c r="M344" s="48">
        <f t="shared" si="2"/>
        <v>15.894653287930609</v>
      </c>
    </row>
    <row r="345" spans="13:13" x14ac:dyDescent="0.35">
      <c r="M345" s="48">
        <f t="shared" si="2"/>
        <v>15.993426637049035</v>
      </c>
    </row>
    <row r="346" spans="13:13" x14ac:dyDescent="0.35">
      <c r="M346" s="48">
        <f t="shared" si="2"/>
        <v>16.093325252729844</v>
      </c>
    </row>
    <row r="347" spans="13:13" x14ac:dyDescent="0.35">
      <c r="M347" s="48">
        <f t="shared" si="2"/>
        <v>16.194457101356548</v>
      </c>
    </row>
    <row r="348" spans="13:13" x14ac:dyDescent="0.35">
      <c r="M348" s="48">
        <f t="shared" si="2"/>
        <v>16.296940203306853</v>
      </c>
    </row>
    <row r="349" spans="13:13" x14ac:dyDescent="0.35">
      <c r="M349" s="48">
        <f t="shared" si="2"/>
        <v>16.400904403965608</v>
      </c>
    </row>
    <row r="350" spans="13:13" x14ac:dyDescent="0.35">
      <c r="M350" s="48">
        <f t="shared" si="2"/>
        <v>16.506493580950742</v>
      </c>
    </row>
    <row r="351" spans="13:13" x14ac:dyDescent="0.35">
      <c r="M351" s="48">
        <f t="shared" si="2"/>
        <v>16.61386841924994</v>
      </c>
    </row>
    <row r="352" spans="13:13" x14ac:dyDescent="0.35">
      <c r="M352" s="48">
        <f t="shared" si="2"/>
        <v>16.723209934475239</v>
      </c>
    </row>
    <row r="353" spans="13:13" x14ac:dyDescent="0.35">
      <c r="M353" s="48">
        <f t="shared" si="2"/>
        <v>16.834723994778166</v>
      </c>
    </row>
    <row r="354" spans="13:13" x14ac:dyDescent="0.35">
      <c r="M354" s="48">
        <f t="shared" si="2"/>
        <v>16.948647195962206</v>
      </c>
    </row>
    <row r="355" spans="13:13" x14ac:dyDescent="0.35">
      <c r="M355" s="48">
        <f t="shared" si="2"/>
        <v>17.065254601475022</v>
      </c>
    </row>
    <row r="356" spans="13:13" x14ac:dyDescent="0.35">
      <c r="M356" s="48">
        <f t="shared" si="2"/>
        <v>17.184870102296397</v>
      </c>
    </row>
    <row r="357" spans="13:13" x14ac:dyDescent="0.35">
      <c r="M357" s="48">
        <f t="shared" si="2"/>
        <v>17.307880539065327</v>
      </c>
    </row>
    <row r="358" spans="13:13" x14ac:dyDescent="0.35">
      <c r="M358" s="48">
        <f t="shared" si="2"/>
        <v>17.434755364986113</v>
      </c>
    </row>
    <row r="359" spans="13:13" x14ac:dyDescent="0.35">
      <c r="M359" s="48">
        <f t="shared" si="2"/>
        <v>17.566074711430886</v>
      </c>
    </row>
    <row r="360" spans="13:13" x14ac:dyDescent="0.35">
      <c r="M360" s="48">
        <f t="shared" si="2"/>
        <v>17.70257064210486</v>
      </c>
    </row>
    <row r="361" spans="13:13" x14ac:dyDescent="0.35">
      <c r="M361" s="48">
        <f t="shared" si="2"/>
        <v>17.845189971551541</v>
      </c>
    </row>
    <row r="362" spans="13:13" x14ac:dyDescent="0.35">
      <c r="M362" s="48">
        <f t="shared" si="2"/>
        <v>17.995194131022366</v>
      </c>
    </row>
    <row r="363" spans="13:13" x14ac:dyDescent="0.35">
      <c r="M363" s="48">
        <f t="shared" si="2"/>
        <v>18.154326692565803</v>
      </c>
    </row>
    <row r="364" spans="13:13" x14ac:dyDescent="0.35">
      <c r="M364" s="48">
        <f t="shared" si="2"/>
        <v>18.325114427287545</v>
      </c>
    </row>
    <row r="365" spans="13:13" x14ac:dyDescent="0.35">
      <c r="M365" s="48">
        <f t="shared" si="2"/>
        <v>18.511460306057486</v>
      </c>
    </row>
    <row r="366" spans="13:13" x14ac:dyDescent="0.35">
      <c r="M366" s="48">
        <f t="shared" si="2"/>
        <v>18.719972355287467</v>
      </c>
    </row>
    <row r="367" spans="13:13" x14ac:dyDescent="0.35">
      <c r="M367" s="48">
        <f t="shared" si="2"/>
        <v>18.963593289546473</v>
      </c>
    </row>
    <row r="368" spans="13:13" x14ac:dyDescent="0.35">
      <c r="M368" s="48">
        <f t="shared" si="2"/>
        <v>19.275808757574939</v>
      </c>
    </row>
    <row r="369" spans="13:13" x14ac:dyDescent="0.35">
      <c r="M369" s="48">
        <f t="shared" si="2"/>
        <v>19.443443753643887</v>
      </c>
    </row>
    <row r="370" spans="13:13" x14ac:dyDescent="0.35">
      <c r="M370" s="48">
        <f t="shared" si="2"/>
        <v>19.610547643924196</v>
      </c>
    </row>
    <row r="371" spans="13:13" x14ac:dyDescent="0.35">
      <c r="M371" s="48">
        <f t="shared" si="2"/>
        <v>19.778980276789511</v>
      </c>
    </row>
    <row r="372" spans="13:13" x14ac:dyDescent="0.35">
      <c r="M372" s="52">
        <f t="shared" si="2"/>
        <v>20</v>
      </c>
    </row>
    <row r="373" spans="13:13" x14ac:dyDescent="0.35">
      <c r="M373" s="113"/>
    </row>
    <row r="374" spans="13:13" x14ac:dyDescent="0.35">
      <c r="M374" s="109"/>
    </row>
    <row r="375" spans="13:13" x14ac:dyDescent="0.35">
      <c r="M375" s="3"/>
    </row>
    <row r="376" spans="13:13" x14ac:dyDescent="0.35">
      <c r="M376" s="35" t="s">
        <v>15</v>
      </c>
    </row>
    <row r="377" spans="13:13" x14ac:dyDescent="0.35">
      <c r="M377" s="44">
        <f>IF(OR(M155=0,M155=1),0,((M$14/(M155*(1-M155))+M$15*((M155-0.5)/(M155*(1-M155))+LN(M155/(1-M155)))+M$16+2*M$17*(M155-0.5)+M$18*((M155-0.5)^2/(M155*(1-M155))+2*(M155-0.5)*LN(M155/(1-M155)))+3*M$19*(M155-0.5)^2+M$20*((M155-0.5)^3/(M155*(1-M155))+3*(M155-0.5)^2*LN(M155/(1-M155)))+4*M$21*(M155-0.5)^3)^-1)*(1+EXP(M$13+M$14*LN(M155/(1-M155))+M$15*(M155-0.5)*LN(M155/(1-M155))+M$16*(M155-0.5)+M$17*(M155-0.5)^2+M$18*(M155-0.5)^2*LN(M155/(1-M155))+M$19*(M155-0.5)^3+M$20*(M155-0.5)^3*LN(M155/(1-M155))+M$21*(M155-0.5)^4))^2/(M$5*(M$4-M$2)*EXP(M$13+M$14*LN(M155/(1-M155))+M$15*(M155-0.5)*LN(M155/(1-M155))+M$16*(M155-0.5)+M$17*(M155-0.5)^2+M$18*(M155-0.5)^2*LN(M155/(1-M155))+M$19*(M155-0.5)^3+M$20*(M155-0.5)^3*LN(M155/(1-M155))+M$21*(M155-0.5)^4)))</f>
        <v>0</v>
      </c>
    </row>
    <row r="378" spans="13:13" x14ac:dyDescent="0.35">
      <c r="M378" s="19">
        <f t="shared" ref="M378:M441" si="3">IF(OR(M156=0,M156=1),0,((M$14/(M156*(1-M156))+M$15*((M156-0.5)/(M156*(1-M156))+LN(M156/(1-M156)))+M$16+2*M$17*(M156-0.5)+M$18*((M156-0.5)^2/(M156*(1-M156))+2*(M156-0.5)*LN(M156/(1-M156)))+3*M$19*(M156-0.5)^2+M$20*((M156-0.5)^3/(M156*(1-M156))+3*(M156-0.5)^2*LN(M156/(1-M156)))+4*M$21*(M156-0.5)^3)^-1)*(1+EXP(M$13+M$14*LN(M156/(1-M156))+M$15*(M156-0.5)*LN(M156/(1-M156))+M$16*(M156-0.5)+M$17*(M156-0.5)^2+M$18*(M156-0.5)^2*LN(M156/(1-M156))+M$19*(M156-0.5)^3+M$20*(M156-0.5)^3*LN(M156/(1-M156))+M$21*(M156-0.5)^4))^2/(M$5*(M$4-M$2)*EXP(M$13+M$14*LN(M156/(1-M156))+M$15*(M156-0.5)*LN(M156/(1-M156))+M$16*(M156-0.5)+M$17*(M156-0.5)^2+M$18*(M156-0.5)^2*LN(M156/(1-M156))+M$19*(M156-0.5)^3+M$20*(M156-0.5)^3*LN(M156/(1-M156))+M$21*(M156-0.5)^4)))</f>
        <v>1.4435083425693026E-3</v>
      </c>
    </row>
    <row r="379" spans="13:13" x14ac:dyDescent="0.35">
      <c r="M379" s="19">
        <f t="shared" si="3"/>
        <v>3.3558028649591323E-3</v>
      </c>
    </row>
    <row r="380" spans="13:13" x14ac:dyDescent="0.35">
      <c r="M380" s="19">
        <f t="shared" si="3"/>
        <v>5.6596247140763608E-3</v>
      </c>
    </row>
    <row r="381" spans="13:13" x14ac:dyDescent="0.35">
      <c r="M381" s="19">
        <f t="shared" si="3"/>
        <v>8.2584134915324944E-3</v>
      </c>
    </row>
    <row r="382" spans="13:13" x14ac:dyDescent="0.35">
      <c r="M382" s="19">
        <f t="shared" si="3"/>
        <v>1.3671187375436744E-2</v>
      </c>
    </row>
    <row r="383" spans="13:13" x14ac:dyDescent="0.35">
      <c r="M383" s="19">
        <f t="shared" si="3"/>
        <v>1.8342370723227686E-2</v>
      </c>
    </row>
    <row r="384" spans="13:13" x14ac:dyDescent="0.35">
      <c r="M384" s="19">
        <f t="shared" si="3"/>
        <v>2.2645240631829391E-2</v>
      </c>
    </row>
    <row r="385" spans="13:13" x14ac:dyDescent="0.35">
      <c r="M385" s="19">
        <f t="shared" si="3"/>
        <v>2.6731188320427767E-2</v>
      </c>
    </row>
    <row r="386" spans="13:13" x14ac:dyDescent="0.35">
      <c r="M386" s="19">
        <f t="shared" si="3"/>
        <v>3.0672816276848387E-2</v>
      </c>
    </row>
    <row r="387" spans="13:13" x14ac:dyDescent="0.35">
      <c r="M387" s="19">
        <f t="shared" si="3"/>
        <v>3.4506587512438333E-2</v>
      </c>
    </row>
    <row r="388" spans="13:13" x14ac:dyDescent="0.35">
      <c r="M388" s="19">
        <f t="shared" si="3"/>
        <v>3.8249979582874426E-2</v>
      </c>
    </row>
    <row r="389" spans="13:13" x14ac:dyDescent="0.35">
      <c r="M389" s="19">
        <f t="shared" si="3"/>
        <v>4.190970074175427E-2</v>
      </c>
    </row>
    <row r="390" spans="13:13" x14ac:dyDescent="0.35">
      <c r="M390" s="19">
        <f t="shared" si="3"/>
        <v>4.5486135120712874E-2</v>
      </c>
    </row>
    <row r="391" spans="13:13" x14ac:dyDescent="0.35">
      <c r="M391" s="19">
        <f t="shared" si="3"/>
        <v>4.8975979019382505E-2</v>
      </c>
    </row>
    <row r="392" spans="13:13" x14ac:dyDescent="0.35">
      <c r="M392" s="19">
        <f t="shared" si="3"/>
        <v>5.2373917007012369E-2</v>
      </c>
    </row>
    <row r="393" spans="13:13" x14ac:dyDescent="0.35">
      <c r="M393" s="19">
        <f t="shared" si="3"/>
        <v>5.567374121412489E-2</v>
      </c>
    </row>
    <row r="394" spans="13:13" x14ac:dyDescent="0.35">
      <c r="M394" s="19">
        <f t="shared" si="3"/>
        <v>5.8869120327950664E-2</v>
      </c>
    </row>
    <row r="395" spans="13:13" x14ac:dyDescent="0.35">
      <c r="M395" s="19">
        <f t="shared" si="3"/>
        <v>6.1954131259614575E-2</v>
      </c>
    </row>
    <row r="396" spans="13:13" x14ac:dyDescent="0.35">
      <c r="M396" s="19">
        <f t="shared" si="3"/>
        <v>6.4923619646768294E-2</v>
      </c>
    </row>
    <row r="397" spans="13:13" x14ac:dyDescent="0.35">
      <c r="M397" s="19">
        <f t="shared" si="3"/>
        <v>6.7773431056974406E-2</v>
      </c>
    </row>
    <row r="398" spans="13:13" x14ac:dyDescent="0.35">
      <c r="M398" s="19">
        <f t="shared" si="3"/>
        <v>7.050054175858865E-2</v>
      </c>
    </row>
    <row r="399" spans="13:13" x14ac:dyDescent="0.35">
      <c r="M399" s="19">
        <f t="shared" si="3"/>
        <v>7.3103110720166661E-2</v>
      </c>
    </row>
    <row r="400" spans="13:13" x14ac:dyDescent="0.35">
      <c r="M400" s="19">
        <f t="shared" si="3"/>
        <v>7.5580470257921931E-2</v>
      </c>
    </row>
    <row r="401" spans="13:13" x14ac:dyDescent="0.35">
      <c r="M401" s="19">
        <f t="shared" si="3"/>
        <v>7.7933069986028516E-2</v>
      </c>
    </row>
    <row r="402" spans="13:13" x14ac:dyDescent="0.35">
      <c r="M402" s="19">
        <f t="shared" si="3"/>
        <v>8.0162386657245066E-2</v>
      </c>
    </row>
    <row r="403" spans="13:13" x14ac:dyDescent="0.35">
      <c r="M403" s="19">
        <f t="shared" si="3"/>
        <v>8.2270810720077664E-2</v>
      </c>
    </row>
    <row r="404" spans="13:13" x14ac:dyDescent="0.35">
      <c r="M404" s="19">
        <f t="shared" si="3"/>
        <v>8.4261518787614856E-2</v>
      </c>
    </row>
    <row r="405" spans="13:13" x14ac:dyDescent="0.35">
      <c r="M405" s="19">
        <f t="shared" si="3"/>
        <v>8.6138339653606538E-2</v>
      </c>
    </row>
    <row r="406" spans="13:13" x14ac:dyDescent="0.35">
      <c r="M406" s="19">
        <f t="shared" si="3"/>
        <v>8.7905620003944279E-2</v>
      </c>
    </row>
    <row r="407" spans="13:13" x14ac:dyDescent="0.35">
      <c r="M407" s="19">
        <f t="shared" si="3"/>
        <v>8.956809458181976E-2</v>
      </c>
    </row>
    <row r="408" spans="13:13" x14ac:dyDescent="0.35">
      <c r="M408" s="19">
        <f t="shared" si="3"/>
        <v>9.1130764302756032E-2</v>
      </c>
    </row>
    <row r="409" spans="13:13" x14ac:dyDescent="0.35">
      <c r="M409" s="19">
        <f t="shared" si="3"/>
        <v>9.2598784706058992E-2</v>
      </c>
    </row>
    <row r="410" spans="13:13" x14ac:dyDescent="0.35">
      <c r="M410" s="19">
        <f t="shared" si="3"/>
        <v>9.3977366186533462E-2</v>
      </c>
    </row>
    <row r="411" spans="13:13" x14ac:dyDescent="0.35">
      <c r="M411" s="19">
        <f t="shared" si="3"/>
        <v>9.5271686678157635E-2</v>
      </c>
    </row>
    <row r="412" spans="13:13" x14ac:dyDescent="0.35">
      <c r="M412" s="19">
        <f t="shared" si="3"/>
        <v>9.6486816853885035E-2</v>
      </c>
    </row>
    <row r="413" spans="13:13" x14ac:dyDescent="0.35">
      <c r="M413" s="19">
        <f t="shared" si="3"/>
        <v>9.7627657449631311E-2</v>
      </c>
    </row>
    <row r="414" spans="13:13" x14ac:dyDescent="0.35">
      <c r="M414" s="19">
        <f t="shared" si="3"/>
        <v>9.8698887997901052E-2</v>
      </c>
    </row>
    <row r="415" spans="13:13" x14ac:dyDescent="0.35">
      <c r="M415" s="19">
        <f t="shared" si="3"/>
        <v>9.970492604712651E-2</v>
      </c>
    </row>
    <row r="416" spans="13:13" x14ac:dyDescent="0.35">
      <c r="M416" s="19">
        <f t="shared" si="3"/>
        <v>0.10064989582586828</v>
      </c>
    </row>
    <row r="417" spans="13:13" x14ac:dyDescent="0.35">
      <c r="M417" s="19">
        <f t="shared" si="3"/>
        <v>0.10153760526675085</v>
      </c>
    </row>
    <row r="418" spans="13:13" x14ac:dyDescent="0.35">
      <c r="M418" s="19">
        <f t="shared" si="3"/>
        <v>0.10237153031541214</v>
      </c>
    </row>
    <row r="419" spans="13:13" x14ac:dyDescent="0.35">
      <c r="M419" s="19">
        <f t="shared" si="3"/>
        <v>0.10315480549923957</v>
      </c>
    </row>
    <row r="420" spans="13:13" x14ac:dyDescent="0.35">
      <c r="M420" s="19">
        <f t="shared" si="3"/>
        <v>0.10389021980620046</v>
      </c>
    </row>
    <row r="421" spans="13:13" x14ac:dyDescent="0.35">
      <c r="M421" s="19">
        <f t="shared" si="3"/>
        <v>0.10458021701511272</v>
      </c>
    </row>
    <row r="422" spans="13:13" x14ac:dyDescent="0.35">
      <c r="M422" s="19">
        <f t="shared" si="3"/>
        <v>0.10522689971699513</v>
      </c>
    </row>
    <row r="423" spans="13:13" x14ac:dyDescent="0.35">
      <c r="M423" s="19">
        <f t="shared" si="3"/>
        <v>0.1058320363664839</v>
      </c>
    </row>
    <row r="424" spans="13:13" x14ac:dyDescent="0.35">
      <c r="M424" s="19">
        <f t="shared" si="3"/>
        <v>0.1063970707981939</v>
      </c>
    </row>
    <row r="425" spans="13:13" x14ac:dyDescent="0.35">
      <c r="M425" s="19">
        <f t="shared" si="3"/>
        <v>0.10692313373223812</v>
      </c>
    </row>
    <row r="426" spans="13:13" x14ac:dyDescent="0.35">
      <c r="M426" s="19">
        <f t="shared" si="3"/>
        <v>0.10741105587388981</v>
      </c>
    </row>
    <row r="427" spans="13:13" x14ac:dyDescent="0.35">
      <c r="M427" s="19">
        <f t="shared" si="3"/>
        <v>0.10786138228344057</v>
      </c>
    </row>
    <row r="428" spans="13:13" x14ac:dyDescent="0.35">
      <c r="M428" s="19">
        <f t="shared" si="3"/>
        <v>0.108274387753133</v>
      </c>
    </row>
    <row r="429" spans="13:13" x14ac:dyDescent="0.35">
      <c r="M429" s="19">
        <f t="shared" si="3"/>
        <v>0.10865009297858301</v>
      </c>
    </row>
    <row r="430" spans="13:13" x14ac:dyDescent="0.35">
      <c r="M430" s="19">
        <f t="shared" si="3"/>
        <v>0.10898828135258977</v>
      </c>
    </row>
    <row r="431" spans="13:13" x14ac:dyDescent="0.35">
      <c r="M431" s="19">
        <f t="shared" si="3"/>
        <v>0.10928851624013149</v>
      </c>
    </row>
    <row r="432" spans="13:13" x14ac:dyDescent="0.35">
      <c r="M432" s="19">
        <f t="shared" si="3"/>
        <v>0.10955015861524933</v>
      </c>
    </row>
    <row r="433" spans="13:13" x14ac:dyDescent="0.35">
      <c r="M433" s="19">
        <f t="shared" si="3"/>
        <v>0.10977238495411161</v>
      </c>
    </row>
    <row r="434" spans="13:13" x14ac:dyDescent="0.35">
      <c r="M434" s="19">
        <f t="shared" si="3"/>
        <v>0.10995420528453151</v>
      </c>
    </row>
    <row r="435" spans="13:13" x14ac:dyDescent="0.35">
      <c r="M435" s="19">
        <f t="shared" si="3"/>
        <v>0.11009448129132605</v>
      </c>
    </row>
    <row r="436" spans="13:13" x14ac:dyDescent="0.35">
      <c r="M436" s="19">
        <f t="shared" si="3"/>
        <v>0.11019194436988158</v>
      </c>
    </row>
    <row r="437" spans="13:13" x14ac:dyDescent="0.35">
      <c r="M437" s="19">
        <f t="shared" si="3"/>
        <v>0.11024521350786651</v>
      </c>
    </row>
    <row r="438" spans="13:13" x14ac:dyDescent="0.35">
      <c r="M438" s="19">
        <f t="shared" si="3"/>
        <v>0.11025281285792114</v>
      </c>
    </row>
    <row r="439" spans="13:13" x14ac:dyDescent="0.35">
      <c r="M439" s="19">
        <f t="shared" si="3"/>
        <v>0.11021318884304958</v>
      </c>
    </row>
    <row r="440" spans="13:13" x14ac:dyDescent="0.35">
      <c r="M440" s="19">
        <f t="shared" si="3"/>
        <v>0.11012472661200552</v>
      </c>
    </row>
    <row r="441" spans="13:13" x14ac:dyDescent="0.35">
      <c r="M441" s="19">
        <f t="shared" si="3"/>
        <v>0.10998576563481255</v>
      </c>
    </row>
    <row r="442" spans="13:13" x14ac:dyDescent="0.35">
      <c r="M442" s="19">
        <f t="shared" ref="M442:M483" si="4">IF(OR(M220=0,M220=1),0,((M$14/(M220*(1-M220))+M$15*((M220-0.5)/(M220*(1-M220))+LN(M220/(1-M220)))+M$16+2*M$17*(M220-0.5)+M$18*((M220-0.5)^2/(M220*(1-M220))+2*(M220-0.5)*LN(M220/(1-M220)))+3*M$19*(M220-0.5)^2+M$20*((M220-0.5)^3/(M220*(1-M220))+3*(M220-0.5)^2*LN(M220/(1-M220)))+4*M$21*(M220-0.5)^3)^-1)*(1+EXP(M$13+M$14*LN(M220/(1-M220))+M$15*(M220-0.5)*LN(M220/(1-M220))+M$16*(M220-0.5)+M$17*(M220-0.5)^2+M$18*(M220-0.5)^2*LN(M220/(1-M220))+M$19*(M220-0.5)^3+M$20*(M220-0.5)^3*LN(M220/(1-M220))+M$21*(M220-0.5)^4))^2/(M$5*(M$4-M$2)*EXP(M$13+M$14*LN(M220/(1-M220))+M$15*(M220-0.5)*LN(M220/(1-M220))+M$16*(M220-0.5)+M$17*(M220-0.5)^2+M$18*(M220-0.5)^2*LN(M220/(1-M220))+M$19*(M220-0.5)^3+M$20*(M220-0.5)^3*LN(M220/(1-M220))+M$21*(M220-0.5)^4)))</f>
        <v>0.10979461419922647</v>
      </c>
    </row>
    <row r="443" spans="13:13" x14ac:dyDescent="0.35">
      <c r="M443" s="19">
        <f t="shared" si="4"/>
        <v>0.10954956253787318</v>
      </c>
    </row>
    <row r="444" spans="13:13" x14ac:dyDescent="0.35">
      <c r="M444" s="19">
        <f t="shared" si="4"/>
        <v>0.10924889428326168</v>
      </c>
    </row>
    <row r="445" spans="13:13" x14ac:dyDescent="0.35">
      <c r="M445" s="19">
        <f t="shared" si="4"/>
        <v>0.10889089591396897</v>
      </c>
    </row>
    <row r="446" spans="13:13" x14ac:dyDescent="0.35">
      <c r="M446" s="19">
        <f t="shared" si="4"/>
        <v>0.10847386381984658</v>
      </c>
    </row>
    <row r="447" spans="13:13" x14ac:dyDescent="0.35">
      <c r="M447" s="19">
        <f t="shared" si="4"/>
        <v>0.1079961085765704</v>
      </c>
    </row>
    <row r="448" spans="13:13" x14ac:dyDescent="0.35">
      <c r="M448" s="19">
        <f t="shared" si="4"/>
        <v>0.10745595597928559</v>
      </c>
    </row>
    <row r="449" spans="13:13" x14ac:dyDescent="0.35">
      <c r="M449" s="19">
        <f t="shared" si="4"/>
        <v>0.10685174433991294</v>
      </c>
    </row>
    <row r="450" spans="13:13" x14ac:dyDescent="0.35">
      <c r="M450" s="19">
        <f t="shared" si="4"/>
        <v>0.10618181750061453</v>
      </c>
    </row>
    <row r="451" spans="13:13" x14ac:dyDescent="0.35">
      <c r="M451" s="19">
        <f t="shared" si="4"/>
        <v>0.10544451295371782</v>
      </c>
    </row>
    <row r="452" spans="13:13" x14ac:dyDescent="0.35">
      <c r="M452" s="19">
        <f t="shared" si="4"/>
        <v>0.1046381443816389</v>
      </c>
    </row>
    <row r="453" spans="13:13" x14ac:dyDescent="0.35">
      <c r="M453" s="19">
        <f t="shared" si="4"/>
        <v>0.10376097783299666</v>
      </c>
    </row>
    <row r="454" spans="13:13" x14ac:dyDescent="0.35">
      <c r="M454" s="19">
        <f t="shared" si="4"/>
        <v>0.10281120062506204</v>
      </c>
    </row>
    <row r="455" spans="13:13" x14ac:dyDescent="0.35">
      <c r="M455" s="19">
        <f t="shared" si="4"/>
        <v>0.10178688189699632</v>
      </c>
    </row>
    <row r="456" spans="13:13" x14ac:dyDescent="0.35">
      <c r="M456" s="19">
        <f t="shared" si="4"/>
        <v>0.10068592351818313</v>
      </c>
    </row>
    <row r="457" spans="13:13" x14ac:dyDescent="0.35">
      <c r="M457" s="19">
        <f t="shared" si="4"/>
        <v>9.9505999761079642E-2</v>
      </c>
    </row>
    <row r="458" spans="13:13" x14ac:dyDescent="0.35">
      <c r="M458" s="19">
        <f t="shared" si="4"/>
        <v>9.8244483750331971E-2</v>
      </c>
    </row>
    <row r="459" spans="13:13" x14ac:dyDescent="0.35">
      <c r="M459" s="19">
        <f t="shared" si="4"/>
        <v>9.6898358159940828E-2</v>
      </c>
    </row>
    <row r="460" spans="13:13" x14ac:dyDescent="0.35">
      <c r="M460" s="19">
        <f t="shared" si="4"/>
        <v>9.546410689155499E-2</v>
      </c>
    </row>
    <row r="461" spans="13:13" x14ac:dyDescent="0.35">
      <c r="M461" s="19">
        <f t="shared" si="4"/>
        <v>9.3937583447201337E-2</v>
      </c>
    </row>
    <row r="462" spans="13:13" x14ac:dyDescent="0.35">
      <c r="M462" s="19">
        <f t="shared" si="4"/>
        <v>9.2313850286527568E-2</v>
      </c>
    </row>
    <row r="463" spans="13:13" x14ac:dyDescent="0.35">
      <c r="M463" s="19">
        <f t="shared" si="4"/>
        <v>9.058698144595613E-2</v>
      </c>
    </row>
    <row r="464" spans="13:13" x14ac:dyDescent="0.35">
      <c r="M464" s="19">
        <f t="shared" si="4"/>
        <v>8.8749817805912054E-2</v>
      </c>
    </row>
    <row r="465" spans="13:13" x14ac:dyDescent="0.35">
      <c r="M465" s="19">
        <f t="shared" si="4"/>
        <v>8.6793660161790881E-2</v>
      </c>
    </row>
    <row r="466" spans="13:13" x14ac:dyDescent="0.35">
      <c r="M466" s="19">
        <f t="shared" si="4"/>
        <v>8.4707878930467301E-2</v>
      </c>
    </row>
    <row r="467" spans="13:13" x14ac:dyDescent="0.35">
      <c r="M467" s="19">
        <f t="shared" si="4"/>
        <v>8.2479409635461867E-2</v>
      </c>
    </row>
    <row r="468" spans="13:13" x14ac:dyDescent="0.35">
      <c r="M468" s="19">
        <f t="shared" si="4"/>
        <v>8.0092088045005977E-2</v>
      </c>
    </row>
    <row r="469" spans="13:13" x14ac:dyDescent="0.35">
      <c r="M469" s="19">
        <f t="shared" si="4"/>
        <v>7.7525753982671919E-2</v>
      </c>
    </row>
    <row r="470" spans="13:13" x14ac:dyDescent="0.35">
      <c r="M470" s="19">
        <f t="shared" si="4"/>
        <v>7.4755010836703925E-2</v>
      </c>
    </row>
    <row r="471" spans="13:13" x14ac:dyDescent="0.35">
      <c r="M471" s="19">
        <f t="shared" si="4"/>
        <v>7.1747453711732176E-2</v>
      </c>
    </row>
    <row r="472" spans="13:13" x14ac:dyDescent="0.35">
      <c r="M472" s="19">
        <f t="shared" si="4"/>
        <v>6.846104168388624E-2</v>
      </c>
    </row>
    <row r="473" spans="13:13" x14ac:dyDescent="0.35">
      <c r="M473" s="19">
        <f t="shared" si="4"/>
        <v>6.4840018605987551E-2</v>
      </c>
    </row>
    <row r="474" spans="13:13" x14ac:dyDescent="0.35">
      <c r="M474" s="19">
        <f t="shared" si="4"/>
        <v>6.080821197103739E-2</v>
      </c>
    </row>
    <row r="475" spans="13:13" x14ac:dyDescent="0.35">
      <c r="M475" s="19">
        <f t="shared" si="4"/>
        <v>5.6257202412871771E-2</v>
      </c>
    </row>
    <row r="476" spans="13:13" x14ac:dyDescent="0.35">
      <c r="M476" s="19">
        <f t="shared" si="4"/>
        <v>5.1023354639641298E-2</v>
      </c>
    </row>
    <row r="477" spans="13:13" x14ac:dyDescent="0.35">
      <c r="M477" s="19">
        <f t="shared" si="4"/>
        <v>4.4836907637829125E-2</v>
      </c>
    </row>
    <row r="478" spans="13:13" x14ac:dyDescent="0.35">
      <c r="M478" s="19">
        <f t="shared" si="4"/>
        <v>3.7183952854707512E-2</v>
      </c>
    </row>
    <row r="479" spans="13:13" x14ac:dyDescent="0.35">
      <c r="M479" s="19">
        <f t="shared" si="4"/>
        <v>2.6767994718519525E-2</v>
      </c>
    </row>
    <row r="480" spans="13:13" x14ac:dyDescent="0.35">
      <c r="M480" s="19">
        <f t="shared" si="4"/>
        <v>2.0928110173400873E-2</v>
      </c>
    </row>
    <row r="481" spans="13:13" x14ac:dyDescent="0.35">
      <c r="M481" s="19">
        <f t="shared" si="4"/>
        <v>1.4952438288810238E-2</v>
      </c>
    </row>
    <row r="482" spans="13:13" x14ac:dyDescent="0.35">
      <c r="M482" s="19">
        <f t="shared" si="4"/>
        <v>8.7650946133914116E-3</v>
      </c>
    </row>
    <row r="483" spans="13:13" x14ac:dyDescent="0.35">
      <c r="M483" s="30">
        <f t="shared" si="4"/>
        <v>0</v>
      </c>
    </row>
    <row r="484" spans="13:13" x14ac:dyDescent="0.35">
      <c r="M484" s="113"/>
    </row>
    <row r="485" spans="13:13" x14ac:dyDescent="0.35">
      <c r="M485" s="109"/>
    </row>
    <row r="486" spans="13:13" x14ac:dyDescent="0.35">
      <c r="M486" s="116" t="s">
        <v>33</v>
      </c>
    </row>
    <row r="487" spans="13:13" x14ac:dyDescent="0.35">
      <c r="M487" s="34" t="s">
        <v>34</v>
      </c>
    </row>
    <row r="488" spans="13:13" x14ac:dyDescent="0.35">
      <c r="M488" s="117">
        <v>0</v>
      </c>
    </row>
    <row r="489" spans="13:13" x14ac:dyDescent="0.35">
      <c r="M489" s="111">
        <v>1E-3</v>
      </c>
    </row>
    <row r="490" spans="13:13" x14ac:dyDescent="0.35">
      <c r="M490" s="111">
        <v>0.01</v>
      </c>
    </row>
    <row r="491" spans="13:13" x14ac:dyDescent="0.35">
      <c r="M491" s="111">
        <v>9.9999999999999992E-2</v>
      </c>
    </row>
    <row r="492" spans="13:13" x14ac:dyDescent="0.35">
      <c r="M492" s="111">
        <v>0.25000000000000006</v>
      </c>
    </row>
    <row r="493" spans="13:13" x14ac:dyDescent="0.35">
      <c r="M493" s="111">
        <v>0.50000000000000022</v>
      </c>
    </row>
    <row r="494" spans="13:13" x14ac:dyDescent="0.35">
      <c r="M494" s="111">
        <v>0.75000000000000044</v>
      </c>
    </row>
    <row r="495" spans="13:13" x14ac:dyDescent="0.35">
      <c r="M495" s="111">
        <v>0.90000000000000058</v>
      </c>
    </row>
    <row r="496" spans="13:13" x14ac:dyDescent="0.35">
      <c r="M496" s="111">
        <v>0.99000000000000066</v>
      </c>
    </row>
    <row r="497" spans="13:13" x14ac:dyDescent="0.35">
      <c r="M497" s="111">
        <v>0.999</v>
      </c>
    </row>
    <row r="498" spans="13:13" x14ac:dyDescent="0.35">
      <c r="M498" s="118">
        <v>1</v>
      </c>
    </row>
    <row r="499" spans="13:13" x14ac:dyDescent="0.35">
      <c r="M499" s="119"/>
    </row>
    <row r="500" spans="13:13" x14ac:dyDescent="0.35">
      <c r="M500" s="3"/>
    </row>
    <row r="501" spans="13:13" x14ac:dyDescent="0.35">
      <c r="M501" s="35" t="s">
        <v>35</v>
      </c>
    </row>
    <row r="502" spans="13:13" x14ac:dyDescent="0.35">
      <c r="M502" s="120">
        <f>M5*M2</f>
        <v>0</v>
      </c>
    </row>
    <row r="503" spans="13:13" x14ac:dyDescent="0.35">
      <c r="M503" s="22">
        <f t="array" ref="M503:M511">M5*(M2+(M4-M2)*EXP(MMULT(MINVERSE($O$26:$W$34),M13:M21))/(1+EXP(MMULT(MINVERSE($O$26:$W$34),M13:M21))))</f>
        <v>2.8325141204082693</v>
      </c>
    </row>
    <row r="504" spans="13:13" x14ac:dyDescent="0.35">
      <c r="M504" s="22">
        <v>4.9524619075901057</v>
      </c>
    </row>
    <row r="505" spans="13:13" x14ac:dyDescent="0.35">
      <c r="M505" s="22">
        <v>8.8080083901649076</v>
      </c>
    </row>
    <row r="506" spans="13:13" x14ac:dyDescent="0.35">
      <c r="M506" s="22">
        <v>11.086585653769053</v>
      </c>
    </row>
    <row r="507" spans="13:13" x14ac:dyDescent="0.35">
      <c r="M507" s="22">
        <v>13.584097609908103</v>
      </c>
    </row>
    <row r="508" spans="13:13" x14ac:dyDescent="0.35">
      <c r="M508" s="22">
        <v>15.894653287930723</v>
      </c>
    </row>
    <row r="509" spans="13:13" x14ac:dyDescent="0.35">
      <c r="M509" s="22">
        <v>17.56607471143095</v>
      </c>
    </row>
    <row r="510" spans="13:13" x14ac:dyDescent="0.35">
      <c r="M510" s="22">
        <v>19.27580875757495</v>
      </c>
    </row>
    <row r="511" spans="13:13" x14ac:dyDescent="0.35">
      <c r="M511" s="22">
        <v>19.778980276789515</v>
      </c>
    </row>
    <row r="512" spans="13:13" x14ac:dyDescent="0.35">
      <c r="M512" s="121">
        <f>M5*M4</f>
        <v>20</v>
      </c>
    </row>
    <row r="513" spans="13:13" x14ac:dyDescent="0.35">
      <c r="M513" s="119"/>
    </row>
    <row r="514" spans="13:13" x14ac:dyDescent="0.35">
      <c r="M514" s="122" t="s">
        <v>36</v>
      </c>
    </row>
    <row r="515" spans="13:13" x14ac:dyDescent="0.35">
      <c r="M515" s="123" t="str">
        <f>"sum-of-" &amp; M$5 &amp; "-IID-triangulars cumulative"</f>
        <v>sum-of-2-IID-triangulars cumulative</v>
      </c>
    </row>
    <row r="516" spans="13:13" x14ac:dyDescent="0.35">
      <c r="M516" s="123" t="str">
        <f>"sum-of-" &amp; M$5 &amp; "-IID-triangulars density"</f>
        <v>sum-of-2-IID-triangulars density</v>
      </c>
    </row>
    <row r="517" spans="13:13" x14ac:dyDescent="0.35">
      <c r="M517" s="119"/>
    </row>
  </sheetData>
  <conditionalFormatting sqref="M155:M261">
    <cfRule type="expression" dxfId="1" priority="1">
      <formula>ISERROR(M155)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H1:AN517"/>
  <sheetViews>
    <sheetView topLeftCell="A460" workbookViewId="0">
      <selection activeCell="M502" sqref="M502"/>
    </sheetView>
  </sheetViews>
  <sheetFormatPr defaultRowHeight="14.5" x14ac:dyDescent="0.35"/>
  <cols>
    <col min="1" max="3" width="2.1796875" customWidth="1"/>
    <col min="4" max="4" width="9.81640625" customWidth="1"/>
    <col min="5" max="5" width="8" customWidth="1"/>
    <col min="6" max="6" width="9.54296875" customWidth="1"/>
    <col min="7" max="7" width="9" customWidth="1"/>
    <col min="8" max="8" width="9.1796875" customWidth="1"/>
    <col min="9" max="9" width="11.1796875" customWidth="1"/>
    <col min="10" max="10" width="7.7265625" customWidth="1"/>
    <col min="11" max="11" width="2" customWidth="1"/>
    <col min="12" max="12" width="10" customWidth="1"/>
    <col min="13" max="13" width="8.81640625" customWidth="1"/>
    <col min="14" max="14" width="7.81640625" customWidth="1"/>
    <col min="15" max="39" width="7.1796875" customWidth="1"/>
    <col min="40" max="40" width="6.7265625" customWidth="1"/>
  </cols>
  <sheetData>
    <row r="1" spans="8:16" ht="7.5" customHeight="1" x14ac:dyDescent="0.35"/>
    <row r="2" spans="8:16" ht="16.5" x14ac:dyDescent="0.45">
      <c r="H2" s="2" t="s">
        <v>0</v>
      </c>
      <c r="I2" s="3"/>
      <c r="J2" s="3"/>
      <c r="K2" s="3"/>
      <c r="L2" s="4" t="s">
        <v>3</v>
      </c>
      <c r="M2" s="87">
        <v>1</v>
      </c>
    </row>
    <row r="3" spans="8:16" ht="15" x14ac:dyDescent="0.4">
      <c r="H3" s="93"/>
      <c r="I3" s="107" t="s">
        <v>11</v>
      </c>
      <c r="J3" s="90"/>
      <c r="K3" s="94"/>
      <c r="L3" s="35" t="s">
        <v>5</v>
      </c>
      <c r="M3" s="85">
        <v>0.9</v>
      </c>
    </row>
    <row r="4" spans="8:16" ht="16.5" x14ac:dyDescent="0.45">
      <c r="H4" s="93"/>
      <c r="I4" s="90"/>
      <c r="J4" s="90"/>
      <c r="K4" s="94"/>
      <c r="L4" s="35" t="s">
        <v>4</v>
      </c>
      <c r="M4" s="85">
        <v>4</v>
      </c>
    </row>
    <row r="5" spans="8:16" x14ac:dyDescent="0.35">
      <c r="H5" s="95"/>
      <c r="I5" s="96"/>
      <c r="J5" s="96"/>
      <c r="K5" s="97"/>
      <c r="L5" s="10" t="s">
        <v>6</v>
      </c>
      <c r="M5" s="86">
        <v>2</v>
      </c>
    </row>
    <row r="6" spans="8:16" x14ac:dyDescent="0.35">
      <c r="L6" s="4" t="s">
        <v>13</v>
      </c>
      <c r="M6" s="88">
        <v>0.5</v>
      </c>
      <c r="P6" s="108"/>
    </row>
    <row r="7" spans="8:16" x14ac:dyDescent="0.35">
      <c r="I7" s="2" t="s">
        <v>31</v>
      </c>
      <c r="J7" s="23"/>
      <c r="K7" s="3"/>
      <c r="L7" s="35" t="s">
        <v>14</v>
      </c>
      <c r="M7" s="89">
        <f>IF( M5=1, LOGINV( M6, LN( M2 ), ( LN( M4 ) - LN( M2 )) / NORMSINV( M3 )), IF(M6=0,0,EXP(M13+M14*LN(M6/(1-M6))+M15*(M6-0.5)*LN(M6/(1-M6))+M16*(M6-0.5)+M17*(M6-0.5)^2+M18*(M6-0.5)^2*LN(M6/(1-M6))+M19*(M6-0.5)^3+M20*(M6-0.5)^3*LN(M6/(1-M6))+M21*(M6-0.5)^4)))</f>
        <v>2.510872876148079</v>
      </c>
    </row>
    <row r="8" spans="8:16" x14ac:dyDescent="0.35">
      <c r="I8" s="95"/>
      <c r="J8" s="96"/>
      <c r="K8" s="97"/>
      <c r="L8" s="10" t="s">
        <v>15</v>
      </c>
      <c r="M8" s="17">
        <f>IF(M6=0,0,((M14/(M6*(1-M6))+M15*((M6-0.5)/(M6*(1-M6))+LN(M6/(1-M6)))+M16+2*M17*(M6-0.5)+M18*((M6-0.5)^2/(M6*(1-M6))+2*(M6-0.5)*LN(M6/(1-M6)))+3*M19*(M6-0.5)^2+M20*((M6-0.5)^3/(M6*(1-M6))+3*(M6-0.5)^2*LN(M6/(1-M6)))+4*M21*(M6-0.5)^3)^-1)*EXP(-(M13+M14*LN(M6/(1-M6))+M15*(M6-0.5)*LN(M6/(1-M6))+M16*(M6-0.5)+M17*(M6-0.5)^2+M18*(M6-0.5)^2*LN(M6/(1-M6))+M19*(M6-0.5)^3+M20*(M6-0.5)^3*LN(M6/(1-M6))+M21*(M6-0.5)^4)))</f>
        <v>0.194544434632931</v>
      </c>
    </row>
    <row r="9" spans="8:16" ht="7.5" customHeight="1" x14ac:dyDescent="0.35"/>
    <row r="10" spans="8:16" x14ac:dyDescent="0.35">
      <c r="M10" s="4" t="s">
        <v>1</v>
      </c>
    </row>
    <row r="11" spans="8:16" x14ac:dyDescent="0.35">
      <c r="M11" s="11" t="s">
        <v>7</v>
      </c>
    </row>
    <row r="12" spans="8:16" x14ac:dyDescent="0.35">
      <c r="M12" s="11" t="s">
        <v>8</v>
      </c>
    </row>
    <row r="13" spans="8:16" x14ac:dyDescent="0.35">
      <c r="M13" s="15">
        <f t="array" ref="M13:M21">MMULT($O$26:$W$34,((LN(M2*M5*INDEX($N$43:$AN$150,9*LOOKUP((M4/M2)^(_xlfn.NORM.S.INV(M3)/_xlfn.NORM.S.INV(0.9)),$M$26:$M$37,$L$26:$L$37)-8,LOOKUP(M5,$N$42:$AN$42,$N$41:$AN$41)):INDEX($N$43:$AN$150,9*LOOKUP((M4/M2)^(_xlfn.NORM.S.INV(M3)/_xlfn.NORM.S.INV(0.9)),$M$26:$M$37,$L$26:$L$37),LOOKUP(M5,$N$42:$AN$42,$N$41:$AN$41))))*((INDEX($N$42:$AN$42,1,LOOKUP(M5,$N$42:$AN$42,$N$41:$AN$41)+1)-M5)/(INDEX($N$42:$AN$42,1,LOOKUP(M5,$N$42:$AN$42,$N$41:$AN$41)+1)-INDEX($N$42:$AN$42,1,LOOKUP(M5,$N$42:$AN$42,$N$41:$AN$41))))+LN(M2*M5*INDEX($N$43:$AN$150,9*LOOKUP((M4/M2)^(_xlfn.NORM.S.INV(M3)/_xlfn.NORM.S.INV(0.9)),$M$26:$M$37,$L$26:$L$37)-8,LOOKUP(M5,$N$42:$AN$42,$N$41:$AN$41)+1):INDEX($N$43:$AN$150,9*LOOKUP((M4/M2)^(_xlfn.NORM.S.INV(M3)/_xlfn.NORM.S.INV(0.9)),$M$26:$M$37,$L$26:$L$37),LOOKUP(M5,$N$42:$AN$42,$N$41:$AN$41)+1))*(1-((INDEX($N$42:$AN$42,1,LOOKUP(M5,$N$42:$AN$42,$N$41:$AN$41)+1)-M5)/(INDEX($N$42:$AN$42,1,LOOKUP(M5,$N$42:$AN$42,$N$41:$AN$41)+1)-INDEX($N$42:$AN$42,1,LOOKUP(M5,$N$42:$AN$42,$N$41:$AN$41))))))*((INDEX($M$26:$M$37,LOOKUP((M4/M2)^(_xlfn.NORM.S.INV(M3)/_xlfn.NORM.S.INV(0.9)),$M$26:$M$37,$L$26:$L$37)+1,1)-(M4/M2)^(_xlfn.NORM.S.INV(M3)/_xlfn.NORM.S.INV(0.9)))/(INDEX($M$26:$M$37,LOOKUP((M4/M2)^(_xlfn.NORM.S.INV(M3)/_xlfn.NORM.S.INV(0.9)),$M$26:$M$37,$L$26:$L$37)+1,1)-INDEX($M$26:$M$37,LOOKUP((M4/M2)^(_xlfn.NORM.S.INV(M3)/_xlfn.NORM.S.INV(0.9)),$M$26:$M$37,$L$26:$L$37),1)))+(LN(M2*M5*INDEX($N$43:$AN$150,9*LOOKUP((M4/M2)^(_xlfn.NORM.S.INV(M3)/_xlfn.NORM.S.INV(0.9)),$M$26:$M$37,$L$26:$L$37)+1,LOOKUP(M5,$N$42:$AN$42,$N$41:$AN$41)):INDEX($N$43:$AN$150,9*LOOKUP((M4/M2)^(_xlfn.NORM.S.INV(M3)/_xlfn.NORM.S.INV(0.9)),$M$26:$M$37,$L$26:$L$37)+9,LOOKUP(M5,$N$42:$AN$42,$N$41:$AN$41)))*((INDEX($N$42:$AN$42,1,LOOKUP(M5,$N$42:$AN$42,$N$41:$AN$41)+1)-M5)/(INDEX($N$42:$AN$42,1,LOOKUP(M5,$N$42:$AN$42,$N$41:$AN$41)+1)-INDEX($N$42:$AN$42,1,LOOKUP(M5,$N$42:$AN$42,$N$41:$AN$41))))+LN(M2*M5*INDEX($N$43:$AN$150,9*LOOKUP((M4/M2)^(_xlfn.NORM.S.INV(M3)/_xlfn.NORM.S.INV(0.9)),$M$26:$M$37,$L$26:$L$37)+1,LOOKUP(M5,$N$42:$AN$42,$N$41:$AN$41)+1):INDEX($N$43:$AN$150,9*LOOKUP((M4/M2)^(_xlfn.NORM.S.INV(M3)/_xlfn.NORM.S.INV(0.9)),$M$26:$M$37,$L$26:$L$37)+9,LOOKUP(M5,$N$42:$AN$42,$N$41:$AN$41)+1))*(1-((INDEX($N$42:$AN$42,1,LOOKUP(M5,$N$42:$AN$42,$N$41:$AN$41)+1)-M5)/(INDEX($N$42:$AN$42,1,LOOKUP(M5,$N$42:$AN$42,$N$41:$AN$41)+1)-INDEX($N$42:$AN$42,1,LOOKUP(M5,$N$42:$AN$42,$N$41:$AN$41))))))*(1-(INDEX($M$26:$M$37,LOOKUP((M4/M2)^(_xlfn.NORM.S.INV(M3)/_xlfn.NORM.S.INV(0.9)),$M$26:$M$37,$L$26:$L$37)+1,1)-(M4/M2)^(_xlfn.NORM.S.INV(M3)/_xlfn.NORM.S.INV(0.9)))/(INDEX($M$26:$M$37,LOOKUP((M4/M2)^(_xlfn.NORM.S.INV(M3)/_xlfn.NORM.S.INV(0.9)),$M$26:$M$37,$L$26:$L$37)+1,1)-INDEX($M$26:$M$37,LOOKUP((M4/M2)^(_xlfn.NORM.S.INV(M3)/_xlfn.NORM.S.INV(0.9)),$M$26:$M$37,$L$26:$L$37),1))))</f>
        <v>0.92063045211094563</v>
      </c>
    </row>
    <row r="14" spans="8:16" ht="14.5" customHeight="1" x14ac:dyDescent="0.35">
      <c r="M14" s="16">
        <v>-7.260375720198109E-2</v>
      </c>
    </row>
    <row r="15" spans="8:16" x14ac:dyDescent="0.35">
      <c r="M15" s="16">
        <v>9.1399273361016498E-2</v>
      </c>
    </row>
    <row r="16" spans="8:16" x14ac:dyDescent="0.35">
      <c r="M16" s="16">
        <v>2.3375970715545122</v>
      </c>
    </row>
    <row r="17" spans="12:40" x14ac:dyDescent="0.35">
      <c r="M17" s="16">
        <v>-0.28361822275284254</v>
      </c>
    </row>
    <row r="18" spans="12:40" x14ac:dyDescent="0.35">
      <c r="M18" s="16">
        <v>1.3318697269425677</v>
      </c>
    </row>
    <row r="19" spans="12:40" x14ac:dyDescent="0.35">
      <c r="M19" s="16">
        <v>-3.1652187397542235</v>
      </c>
    </row>
    <row r="20" spans="12:40" x14ac:dyDescent="0.35">
      <c r="M20" s="16">
        <v>-0.15551693247596887</v>
      </c>
    </row>
    <row r="21" spans="12:40" x14ac:dyDescent="0.35">
      <c r="M21" s="17">
        <v>0.22509899030981728</v>
      </c>
    </row>
    <row r="22" spans="12:40" ht="6.65" customHeight="1" x14ac:dyDescent="0.35"/>
    <row r="23" spans="12:40" x14ac:dyDescent="0.35">
      <c r="L23" s="5" t="s">
        <v>2</v>
      </c>
      <c r="M23" s="6"/>
      <c r="N23" s="6"/>
      <c r="O23" s="5"/>
      <c r="P23" s="6"/>
      <c r="Q23" s="6"/>
      <c r="R23" s="5"/>
      <c r="S23" s="6"/>
      <c r="T23" s="6"/>
      <c r="U23" s="5"/>
      <c r="V23" s="6"/>
      <c r="W23" s="6"/>
      <c r="X23" s="5"/>
      <c r="Y23" s="6"/>
      <c r="Z23" s="6"/>
      <c r="AA23" s="5"/>
      <c r="AB23" s="6"/>
      <c r="AC23" s="6"/>
      <c r="AD23" s="5"/>
      <c r="AE23" s="6"/>
      <c r="AF23" s="6"/>
      <c r="AG23" s="5"/>
      <c r="AH23" s="6"/>
      <c r="AI23" s="6"/>
      <c r="AJ23" s="5"/>
      <c r="AK23" s="6"/>
      <c r="AL23" s="6"/>
      <c r="AM23" s="7"/>
      <c r="AN23" s="7"/>
    </row>
    <row r="25" spans="12:40" ht="17.5" x14ac:dyDescent="0.45">
      <c r="L25" s="5" t="s">
        <v>9</v>
      </c>
      <c r="M25" s="7"/>
      <c r="O25" s="5" t="s">
        <v>10</v>
      </c>
      <c r="P25" s="6"/>
      <c r="Q25" s="6"/>
      <c r="R25" s="6"/>
      <c r="S25" s="6"/>
      <c r="T25" s="6"/>
      <c r="U25" s="6"/>
      <c r="V25" s="6"/>
      <c r="W25" s="7"/>
    </row>
    <row r="26" spans="12:40" x14ac:dyDescent="0.35">
      <c r="L26" s="18">
        <v>1</v>
      </c>
      <c r="M26" s="19">
        <v>1.1000000000000001</v>
      </c>
      <c r="O26" s="20">
        <v>5.773159728050814E-15</v>
      </c>
      <c r="P26" s="21">
        <v>3.5527136788005009E-15</v>
      </c>
      <c r="Q26" s="21">
        <v>0</v>
      </c>
      <c r="R26" s="21">
        <v>-1.0658141036401503E-14</v>
      </c>
      <c r="S26" s="21">
        <v>0.99999999999999289</v>
      </c>
      <c r="T26" s="21">
        <v>-2.4868995751603507E-14</v>
      </c>
      <c r="U26" s="21">
        <v>1.0658141036401503E-14</v>
      </c>
      <c r="V26" s="21">
        <v>-9.7699626167013776E-15</v>
      </c>
      <c r="W26" s="22">
        <v>6.6613381477509392E-15</v>
      </c>
    </row>
    <row r="27" spans="12:40" x14ac:dyDescent="0.35">
      <c r="L27" s="18">
        <v>2</v>
      </c>
      <c r="M27" s="19">
        <v>1.2</v>
      </c>
      <c r="O27" s="20">
        <v>-2.0677042621789639</v>
      </c>
      <c r="P27" s="21">
        <v>4.8442472525939015</v>
      </c>
      <c r="Q27" s="21">
        <v>-5.8753062954362205</v>
      </c>
      <c r="R27" s="21">
        <v>4.0329031649231268</v>
      </c>
      <c r="S27" s="21">
        <v>-9.83766223857867E-15</v>
      </c>
      <c r="T27" s="21">
        <v>-4.0329031649230966</v>
      </c>
      <c r="U27" s="21">
        <v>5.8753062954361788</v>
      </c>
      <c r="V27" s="21">
        <v>-4.844247252593993</v>
      </c>
      <c r="W27" s="22">
        <v>2.0677042621790811</v>
      </c>
    </row>
    <row r="28" spans="12:40" x14ac:dyDescent="0.35">
      <c r="L28" s="18">
        <v>3</v>
      </c>
      <c r="M28" s="19">
        <v>1.3</v>
      </c>
      <c r="O28" s="20">
        <v>4.1436959161903557</v>
      </c>
      <c r="P28" s="21">
        <v>-9.8862188828447763</v>
      </c>
      <c r="Q28" s="21">
        <v>14.688265738590616</v>
      </c>
      <c r="R28" s="21">
        <v>-16.131612659692507</v>
      </c>
      <c r="S28" s="21">
        <v>14.371739775512649</v>
      </c>
      <c r="T28" s="21">
        <v>-16.131612659692479</v>
      </c>
      <c r="U28" s="21">
        <v>14.688265738590527</v>
      </c>
      <c r="V28" s="21">
        <v>-9.8862188828449327</v>
      </c>
      <c r="W28" s="22">
        <v>4.1436959161905644</v>
      </c>
    </row>
    <row r="29" spans="12:40" x14ac:dyDescent="0.35">
      <c r="L29" s="18">
        <v>4</v>
      </c>
      <c r="M29" s="19">
        <v>1.45</v>
      </c>
      <c r="O29" s="20">
        <v>8.4231341472202885</v>
      </c>
      <c r="P29" s="21">
        <v>-19.865045619003201</v>
      </c>
      <c r="Q29" s="21">
        <v>25.028081592163044</v>
      </c>
      <c r="R29" s="21">
        <v>-19.922016892066313</v>
      </c>
      <c r="S29" s="21">
        <v>1.2885240581387805E-14</v>
      </c>
      <c r="T29" s="21">
        <v>19.922016892066264</v>
      </c>
      <c r="U29" s="21">
        <v>-25.028081592162941</v>
      </c>
      <c r="V29" s="21">
        <v>19.865045619003627</v>
      </c>
      <c r="W29" s="22">
        <v>-8.4231341472207895</v>
      </c>
    </row>
    <row r="30" spans="12:40" x14ac:dyDescent="0.35">
      <c r="L30" s="18">
        <v>5</v>
      </c>
      <c r="M30" s="19">
        <v>1.7</v>
      </c>
      <c r="O30" s="20">
        <v>-16.880028351143114</v>
      </c>
      <c r="P30" s="21">
        <v>40.540909426537603</v>
      </c>
      <c r="Q30" s="21">
        <v>-62.57020398040806</v>
      </c>
      <c r="R30" s="21">
        <v>79.688067568265538</v>
      </c>
      <c r="S30" s="21">
        <v>-81.55748932650404</v>
      </c>
      <c r="T30" s="21">
        <v>79.688067568265538</v>
      </c>
      <c r="U30" s="21">
        <v>-62.570203980407847</v>
      </c>
      <c r="V30" s="21">
        <v>40.540909426538342</v>
      </c>
      <c r="W30" s="22">
        <v>-16.880028351144006</v>
      </c>
    </row>
    <row r="31" spans="12:40" x14ac:dyDescent="0.35">
      <c r="L31" s="18">
        <v>6</v>
      </c>
      <c r="M31" s="19">
        <v>2.1</v>
      </c>
      <c r="O31" s="20">
        <v>7.0365897550530816</v>
      </c>
      <c r="P31" s="21">
        <v>-17.649854148746094</v>
      </c>
      <c r="Q31" s="21">
        <v>22.59250578237971</v>
      </c>
      <c r="R31" s="21">
        <v>-15.599328271351178</v>
      </c>
      <c r="S31" s="21">
        <v>2.5469983763554034E-14</v>
      </c>
      <c r="T31" s="21">
        <v>15.599328271351089</v>
      </c>
      <c r="U31" s="21">
        <v>-22.592505782379586</v>
      </c>
      <c r="V31" s="21">
        <v>17.649854148746446</v>
      </c>
      <c r="W31" s="22">
        <v>-7.036589755053515</v>
      </c>
    </row>
    <row r="32" spans="12:40" x14ac:dyDescent="0.35">
      <c r="L32" s="18">
        <v>7</v>
      </c>
      <c r="M32" s="19">
        <v>2.7</v>
      </c>
      <c r="O32" s="20">
        <v>-20.309342303675372</v>
      </c>
      <c r="P32" s="21">
        <v>54.797344641131779</v>
      </c>
      <c r="Q32" s="21">
        <v>-86.631166877178089</v>
      </c>
      <c r="R32" s="21">
        <v>71.744518745002722</v>
      </c>
      <c r="S32" s="21">
        <v>1.4337434988243628E-13</v>
      </c>
      <c r="T32" s="21">
        <v>-71.744518745002992</v>
      </c>
      <c r="U32" s="21">
        <v>86.631166877178302</v>
      </c>
      <c r="V32" s="21">
        <v>-54.797344641133328</v>
      </c>
      <c r="W32" s="22">
        <v>20.309342303676889</v>
      </c>
    </row>
    <row r="33" spans="9:40" x14ac:dyDescent="0.35">
      <c r="L33" s="18">
        <v>8</v>
      </c>
      <c r="M33" s="19">
        <v>3.8</v>
      </c>
      <c r="O33" s="20">
        <v>-14.10138227465565</v>
      </c>
      <c r="P33" s="21">
        <v>36.020110507645384</v>
      </c>
      <c r="Q33" s="21">
        <v>-56.481264455949521</v>
      </c>
      <c r="R33" s="21">
        <v>62.397313085404754</v>
      </c>
      <c r="S33" s="21">
        <v>-55.669553724890008</v>
      </c>
      <c r="T33" s="21">
        <v>62.397313085404697</v>
      </c>
      <c r="U33" s="21">
        <v>-56.481264455949272</v>
      </c>
      <c r="V33" s="21">
        <v>36.02011050764601</v>
      </c>
      <c r="W33" s="22">
        <v>-14.101382274656432</v>
      </c>
    </row>
    <row r="34" spans="9:40" x14ac:dyDescent="0.35">
      <c r="L34" s="18">
        <v>9</v>
      </c>
      <c r="M34" s="19">
        <v>5</v>
      </c>
      <c r="O34" s="25">
        <v>40.700084776905364</v>
      </c>
      <c r="P34" s="26">
        <v>-111.83131559414801</v>
      </c>
      <c r="Q34" s="26">
        <v>216.57791719294684</v>
      </c>
      <c r="R34" s="26">
        <v>-286.97807498001237</v>
      </c>
      <c r="S34" s="26">
        <v>283.06277720861681</v>
      </c>
      <c r="T34" s="26">
        <v>-286.9780749800131</v>
      </c>
      <c r="U34" s="26">
        <v>216.57791719294738</v>
      </c>
      <c r="V34" s="26">
        <v>-111.83131559415089</v>
      </c>
      <c r="W34" s="27">
        <v>40.700084776908128</v>
      </c>
    </row>
    <row r="35" spans="9:40" x14ac:dyDescent="0.35">
      <c r="I35" s="28"/>
      <c r="L35" s="18">
        <v>10</v>
      </c>
      <c r="M35" s="19">
        <v>7</v>
      </c>
    </row>
    <row r="36" spans="9:40" x14ac:dyDescent="0.35">
      <c r="L36" s="18">
        <v>11</v>
      </c>
      <c r="M36" s="19">
        <v>10</v>
      </c>
    </row>
    <row r="37" spans="9:40" x14ac:dyDescent="0.35">
      <c r="L37" s="29">
        <v>12</v>
      </c>
      <c r="M37" s="30">
        <v>10.01</v>
      </c>
    </row>
    <row r="39" spans="9:40" x14ac:dyDescent="0.35">
      <c r="L39" s="5" t="s">
        <v>17</v>
      </c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31" t="s">
        <v>18</v>
      </c>
    </row>
    <row r="40" spans="9:40" x14ac:dyDescent="0.35">
      <c r="L40" s="32" t="s">
        <v>19</v>
      </c>
      <c r="M40" s="33" t="s">
        <v>20</v>
      </c>
      <c r="N40" s="2" t="s">
        <v>6</v>
      </c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3"/>
    </row>
    <row r="41" spans="9:40" x14ac:dyDescent="0.35">
      <c r="L41" s="34"/>
      <c r="M41" s="35"/>
      <c r="N41" s="36">
        <v>1</v>
      </c>
      <c r="O41" s="36">
        <f>N41+1</f>
        <v>2</v>
      </c>
      <c r="P41" s="37">
        <f t="shared" ref="P41:AN41" si="0">O41+1</f>
        <v>3</v>
      </c>
      <c r="Q41" s="37">
        <f t="shared" si="0"/>
        <v>4</v>
      </c>
      <c r="R41" s="37">
        <f t="shared" si="0"/>
        <v>5</v>
      </c>
      <c r="S41" s="38">
        <f t="shared" si="0"/>
        <v>6</v>
      </c>
      <c r="T41" s="36">
        <f t="shared" si="0"/>
        <v>7</v>
      </c>
      <c r="U41" s="37">
        <f t="shared" si="0"/>
        <v>8</v>
      </c>
      <c r="V41" s="37">
        <f t="shared" si="0"/>
        <v>9</v>
      </c>
      <c r="W41" s="37">
        <f t="shared" si="0"/>
        <v>10</v>
      </c>
      <c r="X41" s="38">
        <f t="shared" si="0"/>
        <v>11</v>
      </c>
      <c r="Y41" s="36">
        <f t="shared" si="0"/>
        <v>12</v>
      </c>
      <c r="Z41" s="37">
        <f t="shared" si="0"/>
        <v>13</v>
      </c>
      <c r="AA41" s="37">
        <f t="shared" si="0"/>
        <v>14</v>
      </c>
      <c r="AB41" s="37">
        <f t="shared" si="0"/>
        <v>15</v>
      </c>
      <c r="AC41" s="38">
        <f t="shared" si="0"/>
        <v>16</v>
      </c>
      <c r="AD41" s="36">
        <f t="shared" si="0"/>
        <v>17</v>
      </c>
      <c r="AE41" s="37">
        <f t="shared" si="0"/>
        <v>18</v>
      </c>
      <c r="AF41" s="37">
        <f t="shared" si="0"/>
        <v>19</v>
      </c>
      <c r="AG41" s="37">
        <f t="shared" si="0"/>
        <v>20</v>
      </c>
      <c r="AH41" s="38">
        <f t="shared" si="0"/>
        <v>21</v>
      </c>
      <c r="AI41" s="36">
        <f t="shared" si="0"/>
        <v>22</v>
      </c>
      <c r="AJ41" s="37">
        <f t="shared" si="0"/>
        <v>23</v>
      </c>
      <c r="AK41" s="37">
        <f t="shared" si="0"/>
        <v>24</v>
      </c>
      <c r="AL41" s="37">
        <f t="shared" si="0"/>
        <v>25</v>
      </c>
      <c r="AM41" s="37">
        <f t="shared" si="0"/>
        <v>26</v>
      </c>
      <c r="AN41" s="39">
        <f t="shared" si="0"/>
        <v>27</v>
      </c>
    </row>
    <row r="42" spans="9:40" ht="16.5" x14ac:dyDescent="0.45">
      <c r="L42" s="11" t="s">
        <v>21</v>
      </c>
      <c r="M42" s="35" t="s">
        <v>22</v>
      </c>
      <c r="N42" s="8">
        <v>1</v>
      </c>
      <c r="O42" s="8">
        <v>2</v>
      </c>
      <c r="P42" s="9">
        <v>3</v>
      </c>
      <c r="Q42" s="9">
        <v>4</v>
      </c>
      <c r="R42" s="9">
        <v>6</v>
      </c>
      <c r="S42" s="10">
        <v>8</v>
      </c>
      <c r="T42" s="8">
        <v>10</v>
      </c>
      <c r="U42" s="9">
        <v>13</v>
      </c>
      <c r="V42" s="9">
        <v>18</v>
      </c>
      <c r="W42" s="9">
        <v>25</v>
      </c>
      <c r="X42" s="10">
        <v>35</v>
      </c>
      <c r="Y42" s="8">
        <v>50</v>
      </c>
      <c r="Z42" s="9">
        <v>72</v>
      </c>
      <c r="AA42" s="9">
        <v>102</v>
      </c>
      <c r="AB42" s="9">
        <v>144</v>
      </c>
      <c r="AC42" s="10">
        <v>200</v>
      </c>
      <c r="AD42" s="8">
        <v>270</v>
      </c>
      <c r="AE42" s="9">
        <v>350</v>
      </c>
      <c r="AF42" s="9">
        <v>430</v>
      </c>
      <c r="AG42" s="9">
        <v>510</v>
      </c>
      <c r="AH42" s="10">
        <v>590</v>
      </c>
      <c r="AI42" s="8">
        <v>670</v>
      </c>
      <c r="AJ42" s="9">
        <v>750</v>
      </c>
      <c r="AK42" s="9">
        <v>830</v>
      </c>
      <c r="AL42" s="9">
        <v>915</v>
      </c>
      <c r="AM42" s="9">
        <v>1000</v>
      </c>
      <c r="AN42" s="40">
        <v>1001</v>
      </c>
    </row>
    <row r="43" spans="9:40" x14ac:dyDescent="0.35">
      <c r="L43" s="41"/>
      <c r="M43" s="42">
        <v>1E-3</v>
      </c>
      <c r="N43" s="41">
        <v>0.7958438663406352</v>
      </c>
      <c r="O43" s="41">
        <v>0.85158375891327687</v>
      </c>
      <c r="P43" s="43">
        <v>0.87708697819579351</v>
      </c>
      <c r="Q43" s="43">
        <v>0.89306490963149121</v>
      </c>
      <c r="R43" s="43">
        <v>0.91249242051825274</v>
      </c>
      <c r="S43" s="44">
        <v>0.92418465195842736</v>
      </c>
      <c r="T43" s="41">
        <v>0.93204846012258336</v>
      </c>
      <c r="U43" s="43">
        <v>0.94035435246922183</v>
      </c>
      <c r="V43" s="43">
        <v>0.94962763859238164</v>
      </c>
      <c r="W43" s="43">
        <v>0.95741944330262652</v>
      </c>
      <c r="X43" s="44">
        <v>0.96439203641441351</v>
      </c>
      <c r="Y43" s="43">
        <v>0.97051555869152917</v>
      </c>
      <c r="Z43" s="43">
        <v>0.97586975660798214</v>
      </c>
      <c r="AA43" s="43">
        <v>0.98013793242513747</v>
      </c>
      <c r="AB43" s="43">
        <v>0.9837523484323254</v>
      </c>
      <c r="AC43" s="43">
        <v>0.98656995095589162</v>
      </c>
      <c r="AD43" s="41">
        <v>0.98876628467753935</v>
      </c>
      <c r="AE43" s="43">
        <v>0.99052904102365247</v>
      </c>
      <c r="AF43" s="43">
        <v>0.99170564325048971</v>
      </c>
      <c r="AG43" s="43">
        <v>0.99256568208427953</v>
      </c>
      <c r="AH43" s="44">
        <v>0.99329671752029636</v>
      </c>
      <c r="AI43" s="43">
        <v>0.99391652353896309</v>
      </c>
      <c r="AJ43" s="43">
        <v>0.99440796891880723</v>
      </c>
      <c r="AK43" s="43">
        <v>0.99479729714478826</v>
      </c>
      <c r="AL43" s="43">
        <v>0.99516892383968314</v>
      </c>
      <c r="AM43" s="44">
        <v>0.99549984500051891</v>
      </c>
      <c r="AN43" s="45">
        <v>0.99549984500051891</v>
      </c>
    </row>
    <row r="44" spans="9:40" x14ac:dyDescent="0.35">
      <c r="L44" s="46"/>
      <c r="M44" s="47">
        <v>0.01</v>
      </c>
      <c r="N44" s="46">
        <v>0.84140570809016102</v>
      </c>
      <c r="O44" s="46">
        <v>0.88610539579175363</v>
      </c>
      <c r="P44" s="48">
        <v>0.90654134808157916</v>
      </c>
      <c r="Q44" s="48">
        <v>0.91904889682469582</v>
      </c>
      <c r="R44" s="48">
        <v>0.93385430721863316</v>
      </c>
      <c r="S44" s="19">
        <v>0.94288311486870224</v>
      </c>
      <c r="T44" s="46">
        <v>0.94904207549405328</v>
      </c>
      <c r="U44" s="48">
        <v>0.95549926672815211</v>
      </c>
      <c r="V44" s="48">
        <v>0.96250405031101582</v>
      </c>
      <c r="W44" s="48">
        <v>0.96854609817778869</v>
      </c>
      <c r="X44" s="19">
        <v>0.97379344838124382</v>
      </c>
      <c r="Y44" s="48">
        <v>0.97837808202995846</v>
      </c>
      <c r="Z44" s="48">
        <v>0.98246379955011909</v>
      </c>
      <c r="AA44" s="48">
        <v>0.98567590896694945</v>
      </c>
      <c r="AB44" s="48">
        <v>0.98836990064615504</v>
      </c>
      <c r="AC44" s="48">
        <v>0.99055627290857673</v>
      </c>
      <c r="AD44" s="46">
        <v>0.99225832684327708</v>
      </c>
      <c r="AE44" s="48">
        <v>0.99352065536378453</v>
      </c>
      <c r="AF44" s="48">
        <v>0.99441818641619883</v>
      </c>
      <c r="AG44" s="48">
        <v>0.99509983716018424</v>
      </c>
      <c r="AH44" s="19">
        <v>0.99563710831697116</v>
      </c>
      <c r="AI44" s="48">
        <v>0.9960858481917001</v>
      </c>
      <c r="AJ44" s="48">
        <v>0.99644790824921969</v>
      </c>
      <c r="AK44" s="48">
        <v>0.99675710511529225</v>
      </c>
      <c r="AL44" s="48">
        <v>0.99704858592437418</v>
      </c>
      <c r="AM44" s="19">
        <v>0.99729039492550797</v>
      </c>
      <c r="AN44" s="49">
        <v>0.99729039492550797</v>
      </c>
    </row>
    <row r="45" spans="9:40" x14ac:dyDescent="0.35">
      <c r="L45" s="46"/>
      <c r="M45" s="47">
        <v>9.9999999999999992E-2</v>
      </c>
      <c r="N45" s="46">
        <v>0.90916926364311246</v>
      </c>
      <c r="O45" s="46">
        <v>0.93610128287881744</v>
      </c>
      <c r="P45" s="48">
        <v>0.9482465181309524</v>
      </c>
      <c r="Q45" s="48">
        <v>0.95543094363539027</v>
      </c>
      <c r="R45" s="48">
        <v>0.96408143974483707</v>
      </c>
      <c r="S45" s="19">
        <v>0.96920013237238511</v>
      </c>
      <c r="T45" s="46">
        <v>0.97268019595868083</v>
      </c>
      <c r="U45" s="48">
        <v>0.97636515468090024</v>
      </c>
      <c r="V45" s="48">
        <v>0.98034003546522863</v>
      </c>
      <c r="W45" s="48">
        <v>0.98370022557932002</v>
      </c>
      <c r="X45" s="19">
        <v>0.98665912852751647</v>
      </c>
      <c r="Y45" s="48">
        <v>0.98927533663620626</v>
      </c>
      <c r="Z45" s="48">
        <v>0.99153102331362808</v>
      </c>
      <c r="AA45" s="48">
        <v>0.99332080128391709</v>
      </c>
      <c r="AB45" s="48">
        <v>0.99481007679324629</v>
      </c>
      <c r="AC45" s="48">
        <v>0.9960092351932236</v>
      </c>
      <c r="AD45" s="46">
        <v>0.99695445036900854</v>
      </c>
      <c r="AE45" s="48">
        <v>0.99766571049411823</v>
      </c>
      <c r="AF45" s="48">
        <v>0.99816514521648825</v>
      </c>
      <c r="AG45" s="48">
        <v>0.99853842643558632</v>
      </c>
      <c r="AH45" s="19">
        <v>0.99883293992759237</v>
      </c>
      <c r="AI45" s="48">
        <v>0.99907771921702349</v>
      </c>
      <c r="AJ45" s="48">
        <v>0.99928080545660669</v>
      </c>
      <c r="AK45" s="48">
        <v>0.99945436913404173</v>
      </c>
      <c r="AL45" s="48">
        <v>0.99960764564715321</v>
      </c>
      <c r="AM45" s="19">
        <v>0.99974625678974882</v>
      </c>
      <c r="AN45" s="49">
        <v>0.99974625678974882</v>
      </c>
    </row>
    <row r="46" spans="9:40" x14ac:dyDescent="0.35">
      <c r="L46" s="46"/>
      <c r="M46" s="47">
        <v>0.25000000000000006</v>
      </c>
      <c r="N46" s="46">
        <v>0.95113368582321067</v>
      </c>
      <c r="O46" s="46">
        <v>0.96651038517968924</v>
      </c>
      <c r="P46" s="48">
        <v>0.97325924611081627</v>
      </c>
      <c r="Q46" s="48">
        <v>0.9772247801894709</v>
      </c>
      <c r="R46" s="48">
        <v>0.98198457913550896</v>
      </c>
      <c r="S46" s="19">
        <v>0.98481869891349594</v>
      </c>
      <c r="T46" s="46">
        <v>0.98673023501777102</v>
      </c>
      <c r="U46" s="48">
        <v>0.98867385584911693</v>
      </c>
      <c r="V46" s="48">
        <v>0.99081726763863198</v>
      </c>
      <c r="W46" s="48">
        <v>0.99264320940167294</v>
      </c>
      <c r="X46" s="19">
        <v>0.99421986947953822</v>
      </c>
      <c r="Y46" s="48">
        <v>0.99561580872727296</v>
      </c>
      <c r="Z46" s="48">
        <v>0.99681988763214302</v>
      </c>
      <c r="AA46" s="48">
        <v>0.99777545236933651</v>
      </c>
      <c r="AB46" s="48">
        <v>0.99857079775411095</v>
      </c>
      <c r="AC46" s="48">
        <v>0.99919318899444531</v>
      </c>
      <c r="AD46" s="46">
        <v>0.99969644876295094</v>
      </c>
      <c r="AE46" s="48">
        <v>1.0000734735557126</v>
      </c>
      <c r="AF46" s="48">
        <v>1.000345331785192</v>
      </c>
      <c r="AG46" s="48">
        <v>1.0005398247320785</v>
      </c>
      <c r="AH46" s="19">
        <v>1.0006961736384696</v>
      </c>
      <c r="AI46" s="48">
        <v>1.0008209980027516</v>
      </c>
      <c r="AJ46" s="48">
        <v>1.0009274429476214</v>
      </c>
      <c r="AK46" s="48">
        <v>1.0010237933098889</v>
      </c>
      <c r="AL46" s="48">
        <v>1.0011050293107426</v>
      </c>
      <c r="AM46" s="19">
        <v>1.0011762869724767</v>
      </c>
      <c r="AN46" s="49">
        <v>1.0011762869724767</v>
      </c>
    </row>
    <row r="47" spans="9:40" x14ac:dyDescent="0.35">
      <c r="L47" s="46">
        <f>M26</f>
        <v>1.1000000000000001</v>
      </c>
      <c r="M47" s="47">
        <v>0.50000000000000022</v>
      </c>
      <c r="N47" s="46">
        <v>1.0000195571713464</v>
      </c>
      <c r="O47" s="46">
        <v>1.0014029580038222</v>
      </c>
      <c r="P47" s="48">
        <v>1.001885036821923</v>
      </c>
      <c r="Q47" s="48">
        <v>1.0021331604628854</v>
      </c>
      <c r="R47" s="48">
        <v>1.0023025109054127</v>
      </c>
      <c r="S47" s="19">
        <v>1.0024220927054666</v>
      </c>
      <c r="T47" s="46">
        <v>1.0024815854709432</v>
      </c>
      <c r="U47" s="48">
        <v>1.002551776527739</v>
      </c>
      <c r="V47" s="48">
        <v>1.002612866285671</v>
      </c>
      <c r="W47" s="48">
        <v>1.0026705609358046</v>
      </c>
      <c r="X47" s="19">
        <v>1.0026901060550153</v>
      </c>
      <c r="Y47" s="48">
        <v>1.0027089368594733</v>
      </c>
      <c r="Z47" s="48">
        <v>1.0027343595132283</v>
      </c>
      <c r="AA47" s="48">
        <v>1.0027427627699941</v>
      </c>
      <c r="AB47" s="48">
        <v>1.0027474925367308</v>
      </c>
      <c r="AC47" s="48">
        <v>1.0027524286590743</v>
      </c>
      <c r="AD47" s="46">
        <v>1.0027612399944921</v>
      </c>
      <c r="AE47" s="48">
        <v>1.0027606790331118</v>
      </c>
      <c r="AF47" s="48">
        <v>1.0027605752159854</v>
      </c>
      <c r="AG47" s="48">
        <v>1.0027644067798485</v>
      </c>
      <c r="AH47" s="19">
        <v>1.002765932865425</v>
      </c>
      <c r="AI47" s="48">
        <v>1.0027692815810312</v>
      </c>
      <c r="AJ47" s="48">
        <v>1.0027695895585043</v>
      </c>
      <c r="AK47" s="48">
        <v>1.0027710763739801</v>
      </c>
      <c r="AL47" s="48">
        <v>1.0027723321665565</v>
      </c>
      <c r="AM47" s="19">
        <v>1.0027715571470464</v>
      </c>
      <c r="AN47" s="49">
        <v>1.0027715571470464</v>
      </c>
    </row>
    <row r="48" spans="9:40" x14ac:dyDescent="0.35">
      <c r="L48" s="46"/>
      <c r="M48" s="47">
        <v>0.75000000000000044</v>
      </c>
      <c r="N48" s="46">
        <v>1.0514427970646871</v>
      </c>
      <c r="O48" s="46">
        <v>1.03756405647081</v>
      </c>
      <c r="P48" s="48">
        <v>1.0313316510640629</v>
      </c>
      <c r="Q48" s="48">
        <v>1.0275442510981692</v>
      </c>
      <c r="R48" s="48">
        <v>1.023069232138579</v>
      </c>
      <c r="S48" s="19">
        <v>1.0204058720585631</v>
      </c>
      <c r="T48" s="46">
        <v>1.0185122813976633</v>
      </c>
      <c r="U48" s="48">
        <v>1.0166114504250556</v>
      </c>
      <c r="V48" s="48">
        <v>1.0145273967800295</v>
      </c>
      <c r="W48" s="48">
        <v>1.0127949870750366</v>
      </c>
      <c r="X48" s="19">
        <v>1.0112636718410042</v>
      </c>
      <c r="Y48" s="48">
        <v>1.0098667166982644</v>
      </c>
      <c r="Z48" s="48">
        <v>1.0086985780885782</v>
      </c>
      <c r="AA48" s="48">
        <v>1.0077538398395001</v>
      </c>
      <c r="AB48" s="48">
        <v>1.0069621325629579</v>
      </c>
      <c r="AC48" s="48">
        <v>1.0063211717802707</v>
      </c>
      <c r="AD48" s="46">
        <v>1.0058279804316368</v>
      </c>
      <c r="AE48" s="48">
        <v>1.0054563456739192</v>
      </c>
      <c r="AF48" s="48">
        <v>1.0051941301625071</v>
      </c>
      <c r="AG48" s="48">
        <v>1.0050005889921796</v>
      </c>
      <c r="AH48" s="19">
        <v>1.0048437056771804</v>
      </c>
      <c r="AI48" s="48">
        <v>1.0047182141460111</v>
      </c>
      <c r="AJ48" s="48">
        <v>1.0046092772997821</v>
      </c>
      <c r="AK48" s="48">
        <v>1.0045187876437891</v>
      </c>
      <c r="AL48" s="48">
        <v>1.0044350970127405</v>
      </c>
      <c r="AM48" s="19">
        <v>1.0043615386311817</v>
      </c>
      <c r="AN48" s="49">
        <v>1.0043615386311817</v>
      </c>
    </row>
    <row r="49" spans="12:40" x14ac:dyDescent="0.35">
      <c r="L49" s="46"/>
      <c r="M49" s="47">
        <v>0.90000000000000058</v>
      </c>
      <c r="N49" s="46">
        <v>1.1002009269025785</v>
      </c>
      <c r="O49" s="46">
        <v>1.0714088578670156</v>
      </c>
      <c r="P49" s="48">
        <v>1.0585787238404538</v>
      </c>
      <c r="Q49" s="48">
        <v>1.0510305693687405</v>
      </c>
      <c r="R49" s="48">
        <v>1.0421427474844647</v>
      </c>
      <c r="S49" s="19">
        <v>1.036846152797503</v>
      </c>
      <c r="T49" s="46">
        <v>1.0331920041618972</v>
      </c>
      <c r="U49" s="48">
        <v>1.0294362084959625</v>
      </c>
      <c r="V49" s="48">
        <v>1.0253998154150767</v>
      </c>
      <c r="W49" s="48">
        <v>1.0220040028858066</v>
      </c>
      <c r="X49" s="19">
        <v>1.018987184729967</v>
      </c>
      <c r="Y49" s="48">
        <v>1.0163663063553428</v>
      </c>
      <c r="Z49" s="48">
        <v>1.0140938816437064</v>
      </c>
      <c r="AA49" s="48">
        <v>1.0122814956233424</v>
      </c>
      <c r="AB49" s="48">
        <v>1.0107582028276771</v>
      </c>
      <c r="AC49" s="48">
        <v>1.0095288649372511</v>
      </c>
      <c r="AD49" s="46">
        <v>1.00859980809836</v>
      </c>
      <c r="AE49" s="48">
        <v>1.0078898949340398</v>
      </c>
      <c r="AF49" s="48">
        <v>1.0073974397295682</v>
      </c>
      <c r="AG49" s="48">
        <v>1.0070176931500099</v>
      </c>
      <c r="AH49" s="19">
        <v>1.0067250275544615</v>
      </c>
      <c r="AI49" s="48">
        <v>1.0064776218860492</v>
      </c>
      <c r="AJ49" s="48">
        <v>1.0062722594728559</v>
      </c>
      <c r="AK49" s="48">
        <v>1.0060986910497878</v>
      </c>
      <c r="AL49" s="48">
        <v>1.0059384628695318</v>
      </c>
      <c r="AM49" s="19">
        <v>1.0058024426542094</v>
      </c>
      <c r="AN49" s="49">
        <v>1.0058024426542094</v>
      </c>
    </row>
    <row r="50" spans="12:40" x14ac:dyDescent="0.35">
      <c r="L50" s="46"/>
      <c r="M50" s="47">
        <v>0.99000000000000066</v>
      </c>
      <c r="N50" s="46">
        <v>1.1892730049326439</v>
      </c>
      <c r="O50" s="46">
        <v>1.1318907941700227</v>
      </c>
      <c r="P50" s="48">
        <v>1.1071894899525183</v>
      </c>
      <c r="Q50" s="48">
        <v>1.0927145344361566</v>
      </c>
      <c r="R50" s="48">
        <v>1.0756909434329167</v>
      </c>
      <c r="S50" s="19">
        <v>1.065605677681922</v>
      </c>
      <c r="T50" s="46">
        <v>1.0587712858944174</v>
      </c>
      <c r="U50" s="48">
        <v>1.0519057484987846</v>
      </c>
      <c r="V50" s="48">
        <v>1.0444171763624599</v>
      </c>
      <c r="W50" s="48">
        <v>1.0379656913391939</v>
      </c>
      <c r="X50" s="19">
        <v>1.0324691627007998</v>
      </c>
      <c r="Y50" s="48">
        <v>1.0275255625820263</v>
      </c>
      <c r="Z50" s="48">
        <v>1.0233973279903916</v>
      </c>
      <c r="AA50" s="48">
        <v>1.0200851448335839</v>
      </c>
      <c r="AB50" s="48">
        <v>1.017348796835835</v>
      </c>
      <c r="AC50" s="48">
        <v>1.0151084139329429</v>
      </c>
      <c r="AD50" s="46">
        <v>1.0134216782039283</v>
      </c>
      <c r="AE50" s="48">
        <v>1.0121163632035006</v>
      </c>
      <c r="AF50" s="48">
        <v>1.0111789738448553</v>
      </c>
      <c r="AG50" s="48">
        <v>1.0104886277513201</v>
      </c>
      <c r="AH50" s="19">
        <v>1.009943825893818</v>
      </c>
      <c r="AI50" s="48">
        <v>1.0095064132729659</v>
      </c>
      <c r="AJ50" s="48">
        <v>1.0091227163405205</v>
      </c>
      <c r="AK50" s="48">
        <v>1.0088110542862512</v>
      </c>
      <c r="AL50" s="48">
        <v>1.0085099578147492</v>
      </c>
      <c r="AM50" s="19">
        <v>1.0082743462432673</v>
      </c>
      <c r="AN50" s="49">
        <v>1.0082743462432673</v>
      </c>
    </row>
    <row r="51" spans="12:40" x14ac:dyDescent="0.35">
      <c r="L51" s="50"/>
      <c r="M51" s="51">
        <v>0.999</v>
      </c>
      <c r="N51" s="50">
        <v>1.2586359173419515</v>
      </c>
      <c r="O51" s="50">
        <v>1.1792226964922079</v>
      </c>
      <c r="P51" s="52">
        <v>1.1435612042947827</v>
      </c>
      <c r="Q51" s="52">
        <v>1.1242561443941033</v>
      </c>
      <c r="R51" s="52">
        <v>1.1009184757489661</v>
      </c>
      <c r="S51" s="30">
        <v>1.0872914457024676</v>
      </c>
      <c r="T51" s="50">
        <v>1.0779171033738575</v>
      </c>
      <c r="U51" s="52">
        <v>1.0685023170447185</v>
      </c>
      <c r="V51" s="52">
        <v>1.0584720191669659</v>
      </c>
      <c r="W51" s="52">
        <v>1.0501877997143469</v>
      </c>
      <c r="X51" s="30">
        <v>1.0427624656524266</v>
      </c>
      <c r="Y51" s="52">
        <v>1.0359642400366202</v>
      </c>
      <c r="Z51" s="52">
        <v>1.0303600650295262</v>
      </c>
      <c r="AA51" s="52">
        <v>1.0259306120372413</v>
      </c>
      <c r="AB51" s="52">
        <v>1.0220833620276706</v>
      </c>
      <c r="AC51" s="52">
        <v>1.0191997134483812</v>
      </c>
      <c r="AD51" s="50">
        <v>1.0169063830344858</v>
      </c>
      <c r="AE51" s="52">
        <v>1.0151975218147906</v>
      </c>
      <c r="AF51" s="52">
        <v>1.0139585274559328</v>
      </c>
      <c r="AG51" s="52">
        <v>1.0130545289247286</v>
      </c>
      <c r="AH51" s="30">
        <v>1.0123233488621175</v>
      </c>
      <c r="AI51" s="52">
        <v>1.0117277615624736</v>
      </c>
      <c r="AJ51" s="52">
        <v>1.0111947109037362</v>
      </c>
      <c r="AK51" s="52">
        <v>1.0107643758906628</v>
      </c>
      <c r="AL51" s="52">
        <v>1.0103897490708766</v>
      </c>
      <c r="AM51" s="30">
        <v>1.0100384811874439</v>
      </c>
      <c r="AN51" s="53">
        <v>1.0100384811874439</v>
      </c>
    </row>
    <row r="52" spans="12:40" x14ac:dyDescent="0.35">
      <c r="L52" s="41"/>
      <c r="M52" s="42">
        <v>1E-3</v>
      </c>
      <c r="N52" s="41">
        <v>0.64608672138290257</v>
      </c>
      <c r="O52" s="41">
        <v>0.73673166338597929</v>
      </c>
      <c r="P52" s="43">
        <v>0.78014940910883868</v>
      </c>
      <c r="Q52" s="43">
        <v>0.80771367775925018</v>
      </c>
      <c r="R52" s="43">
        <v>0.8421589165049943</v>
      </c>
      <c r="S52" s="44">
        <v>0.86299937955814543</v>
      </c>
      <c r="T52" s="41">
        <v>0.87748177765432123</v>
      </c>
      <c r="U52" s="43">
        <v>0.89279077231914028</v>
      </c>
      <c r="V52" s="43">
        <v>0.90965624427908542</v>
      </c>
      <c r="W52" s="43">
        <v>0.92417240339999907</v>
      </c>
      <c r="X52" s="44">
        <v>0.93717090288445415</v>
      </c>
      <c r="Y52" s="43">
        <v>0.94854170191476295</v>
      </c>
      <c r="Z52" s="43">
        <v>0.95878471732917925</v>
      </c>
      <c r="AA52" s="43">
        <v>0.96684458988181932</v>
      </c>
      <c r="AB52" s="43">
        <v>0.97363277569707396</v>
      </c>
      <c r="AC52" s="43">
        <v>0.97904401197552726</v>
      </c>
      <c r="AD52" s="41">
        <v>0.98324022002962608</v>
      </c>
      <c r="AE52" s="43">
        <v>0.98659593094018738</v>
      </c>
      <c r="AF52" s="43">
        <v>0.98884854558041879</v>
      </c>
      <c r="AG52" s="43">
        <v>0.99051845202647837</v>
      </c>
      <c r="AH52" s="44">
        <v>0.99189960176313285</v>
      </c>
      <c r="AI52" s="43">
        <v>0.99309805515926552</v>
      </c>
      <c r="AJ52" s="43">
        <v>0.99404004445135752</v>
      </c>
      <c r="AK52" s="43">
        <v>0.99480582289557928</v>
      </c>
      <c r="AL52" s="43">
        <v>0.99552410029583982</v>
      </c>
      <c r="AM52" s="44">
        <v>0.99614368852766133</v>
      </c>
      <c r="AN52" s="45">
        <v>0.99614368852766133</v>
      </c>
    </row>
    <row r="53" spans="12:40" x14ac:dyDescent="0.35">
      <c r="L53" s="46"/>
      <c r="M53" s="47">
        <v>0.01</v>
      </c>
      <c r="N53" s="46">
        <v>0.71868866855639602</v>
      </c>
      <c r="O53" s="46">
        <v>0.79510074454821222</v>
      </c>
      <c r="P53" s="48">
        <v>0.83113241834739782</v>
      </c>
      <c r="Q53" s="48">
        <v>0.85359989236845091</v>
      </c>
      <c r="R53" s="48">
        <v>0.88049747914175291</v>
      </c>
      <c r="S53" s="19">
        <v>0.89705273289478871</v>
      </c>
      <c r="T53" s="46">
        <v>0.90848941755068036</v>
      </c>
      <c r="U53" s="48">
        <v>0.9203702930757991</v>
      </c>
      <c r="V53" s="48">
        <v>0.93349158808899813</v>
      </c>
      <c r="W53" s="48">
        <v>0.94489151009907846</v>
      </c>
      <c r="X53" s="19">
        <v>0.95471729067174771</v>
      </c>
      <c r="Y53" s="48">
        <v>0.96339011590211654</v>
      </c>
      <c r="Z53" s="48">
        <v>0.9712038611865762</v>
      </c>
      <c r="AA53" s="48">
        <v>0.97733799849461978</v>
      </c>
      <c r="AB53" s="48">
        <v>0.98245968126557648</v>
      </c>
      <c r="AC53" s="48">
        <v>0.98666946043243731</v>
      </c>
      <c r="AD53" s="46">
        <v>0.98993273196765585</v>
      </c>
      <c r="AE53" s="48">
        <v>0.99234702234017425</v>
      </c>
      <c r="AF53" s="48">
        <v>0.99406469863128966</v>
      </c>
      <c r="AG53" s="48">
        <v>0.99538931360604532</v>
      </c>
      <c r="AH53" s="19">
        <v>0.99641219112022872</v>
      </c>
      <c r="AI53" s="48">
        <v>0.99729166988531104</v>
      </c>
      <c r="AJ53" s="48">
        <v>0.99797483605150428</v>
      </c>
      <c r="AK53" s="48">
        <v>0.99856637493607281</v>
      </c>
      <c r="AL53" s="48">
        <v>0.99912315165327303</v>
      </c>
      <c r="AM53" s="19">
        <v>0.9995960794612726</v>
      </c>
      <c r="AN53" s="49">
        <v>0.9995960794612726</v>
      </c>
    </row>
    <row r="54" spans="12:40" x14ac:dyDescent="0.35">
      <c r="L54" s="46"/>
      <c r="M54" s="47">
        <v>9.9999999999999992E-2</v>
      </c>
      <c r="N54" s="46">
        <v>0.83347073483833589</v>
      </c>
      <c r="O54" s="46">
        <v>0.88327759370254133</v>
      </c>
      <c r="P54" s="48">
        <v>0.90600902904180758</v>
      </c>
      <c r="Q54" s="48">
        <v>0.91959118133465134</v>
      </c>
      <c r="R54" s="48">
        <v>0.93593061629475471</v>
      </c>
      <c r="S54" s="19">
        <v>0.94568665663761475</v>
      </c>
      <c r="T54" s="46">
        <v>0.95233191743557999</v>
      </c>
      <c r="U54" s="48">
        <v>0.95935798691495255</v>
      </c>
      <c r="V54" s="48">
        <v>0.96700689307270227</v>
      </c>
      <c r="W54" s="48">
        <v>0.97343804631188136</v>
      </c>
      <c r="X54" s="19">
        <v>0.97912520934004299</v>
      </c>
      <c r="Y54" s="48">
        <v>0.98414838060763699</v>
      </c>
      <c r="Z54" s="48">
        <v>0.98849603244628481</v>
      </c>
      <c r="AA54" s="48">
        <v>0.99193452316914688</v>
      </c>
      <c r="AB54" s="48">
        <v>0.99480370427817388</v>
      </c>
      <c r="AC54" s="48">
        <v>0.99711346649355881</v>
      </c>
      <c r="AD54" s="46">
        <v>0.99893554880655933</v>
      </c>
      <c r="AE54" s="48">
        <v>1.0003072233757302</v>
      </c>
      <c r="AF54" s="48">
        <v>1.00127406211893</v>
      </c>
      <c r="AG54" s="48">
        <v>1.0019986825685905</v>
      </c>
      <c r="AH54" s="19">
        <v>1.0025604106390313</v>
      </c>
      <c r="AI54" s="48">
        <v>1.0030353344384948</v>
      </c>
      <c r="AJ54" s="48">
        <v>1.0034290406904476</v>
      </c>
      <c r="AK54" s="48">
        <v>1.0037658859702312</v>
      </c>
      <c r="AL54" s="48">
        <v>1.0040590912317626</v>
      </c>
      <c r="AM54" s="19">
        <v>1.0043254629054739</v>
      </c>
      <c r="AN54" s="49">
        <v>1.0043254629054739</v>
      </c>
    </row>
    <row r="55" spans="12:40" x14ac:dyDescent="0.35">
      <c r="L55" s="46"/>
      <c r="M55" s="47">
        <v>0.25000000000000006</v>
      </c>
      <c r="N55" s="46">
        <v>0.90861032282777987</v>
      </c>
      <c r="O55" s="46">
        <v>0.93901672913303791</v>
      </c>
      <c r="P55" s="48">
        <v>0.95243119074365057</v>
      </c>
      <c r="Q55" s="48">
        <v>0.96018129293353516</v>
      </c>
      <c r="R55" s="48">
        <v>0.96960031133588309</v>
      </c>
      <c r="S55" s="19">
        <v>0.97516118167312849</v>
      </c>
      <c r="T55" s="46">
        <v>0.97888554299205377</v>
      </c>
      <c r="U55" s="48">
        <v>0.98271216223145097</v>
      </c>
      <c r="V55" s="48">
        <v>0.98692102723923913</v>
      </c>
      <c r="W55" s="48">
        <v>0.99047830757459288</v>
      </c>
      <c r="X55" s="19">
        <v>0.99356600259687955</v>
      </c>
      <c r="Y55" s="48">
        <v>0.99627534084810987</v>
      </c>
      <c r="Z55" s="48">
        <v>0.99863012233751691</v>
      </c>
      <c r="AA55" s="48">
        <v>1.0004838525038411</v>
      </c>
      <c r="AB55" s="48">
        <v>1.0020247080964164</v>
      </c>
      <c r="AC55" s="48">
        <v>1.0032439119161962</v>
      </c>
      <c r="AD55" s="46">
        <v>1.0042162543018067</v>
      </c>
      <c r="AE55" s="48">
        <v>1.0049457703965161</v>
      </c>
      <c r="AF55" s="48">
        <v>1.005474701377461</v>
      </c>
      <c r="AG55" s="48">
        <v>1.0058519253611664</v>
      </c>
      <c r="AH55" s="19">
        <v>1.0061572758928661</v>
      </c>
      <c r="AI55" s="48">
        <v>1.0063990125030315</v>
      </c>
      <c r="AJ55" s="48">
        <v>1.0066075505200902</v>
      </c>
      <c r="AK55" s="48">
        <v>1.0067908998471466</v>
      </c>
      <c r="AL55" s="48">
        <v>1.0069514025496222</v>
      </c>
      <c r="AM55" s="19">
        <v>1.007088652790991</v>
      </c>
      <c r="AN55" s="49">
        <v>1.007088652790991</v>
      </c>
    </row>
    <row r="56" spans="12:40" x14ac:dyDescent="0.35">
      <c r="L56" s="46">
        <f>M27</f>
        <v>1.2</v>
      </c>
      <c r="M56" s="47">
        <v>0.50000000000000022</v>
      </c>
      <c r="N56" s="46">
        <v>1.0000374118039375</v>
      </c>
      <c r="O56" s="46">
        <v>1.0050948809034543</v>
      </c>
      <c r="P56" s="48">
        <v>1.0068136397134297</v>
      </c>
      <c r="Q56" s="48">
        <v>1.0076648187332304</v>
      </c>
      <c r="R56" s="48">
        <v>1.0084141198391627</v>
      </c>
      <c r="S56" s="19">
        <v>1.0088829056153288</v>
      </c>
      <c r="T56" s="46">
        <v>1.0091132973473467</v>
      </c>
      <c r="U56" s="48">
        <v>1.0093659413982627</v>
      </c>
      <c r="V56" s="48">
        <v>1.0095982707030584</v>
      </c>
      <c r="W56" s="48">
        <v>1.0097949420443126</v>
      </c>
      <c r="X56" s="19">
        <v>1.0098862165272324</v>
      </c>
      <c r="Y56" s="48">
        <v>1.0099508538746964</v>
      </c>
      <c r="Z56" s="48">
        <v>1.0100307691850396</v>
      </c>
      <c r="AA56" s="48">
        <v>1.0100746988101461</v>
      </c>
      <c r="AB56" s="48">
        <v>1.0100919107039377</v>
      </c>
      <c r="AC56" s="48">
        <v>1.0101149434311654</v>
      </c>
      <c r="AD56" s="46">
        <v>1.0101340131883698</v>
      </c>
      <c r="AE56" s="48">
        <v>1.0101398683088105</v>
      </c>
      <c r="AF56" s="48">
        <v>1.0101434043322426</v>
      </c>
      <c r="AG56" s="48">
        <v>1.0101492312466296</v>
      </c>
      <c r="AH56" s="19">
        <v>1.0101550087661588</v>
      </c>
      <c r="AI56" s="48">
        <v>1.0101633180080016</v>
      </c>
      <c r="AJ56" s="48">
        <v>1.0101659809695669</v>
      </c>
      <c r="AK56" s="48">
        <v>1.0101655539664987</v>
      </c>
      <c r="AL56" s="48">
        <v>1.0101696947859509</v>
      </c>
      <c r="AM56" s="19">
        <v>1.0101705386529578</v>
      </c>
      <c r="AN56" s="49">
        <v>1.0101705386529578</v>
      </c>
    </row>
    <row r="57" spans="12:40" x14ac:dyDescent="0.35">
      <c r="L57" s="46"/>
      <c r="M57" s="47">
        <v>0.75000000000000044</v>
      </c>
      <c r="N57" s="46">
        <v>1.1007137472987925</v>
      </c>
      <c r="O57" s="46">
        <v>1.0758058435669677</v>
      </c>
      <c r="P57" s="48">
        <v>1.0642951668913951</v>
      </c>
      <c r="Q57" s="48">
        <v>1.0572932519958345</v>
      </c>
      <c r="R57" s="48">
        <v>1.0488902463927721</v>
      </c>
      <c r="S57" s="19">
        <v>1.0439290528182907</v>
      </c>
      <c r="T57" s="46">
        <v>1.04031272481262</v>
      </c>
      <c r="U57" s="48">
        <v>1.0367143062735884</v>
      </c>
      <c r="V57" s="48">
        <v>1.0327377708778394</v>
      </c>
      <c r="W57" s="48">
        <v>1.0294315965979846</v>
      </c>
      <c r="X57" s="19">
        <v>1.0265170457780239</v>
      </c>
      <c r="Y57" s="48">
        <v>1.0238454806425414</v>
      </c>
      <c r="Z57" s="48">
        <v>1.0216038860918273</v>
      </c>
      <c r="AA57" s="48">
        <v>1.0197881093003245</v>
      </c>
      <c r="AB57" s="48">
        <v>1.0182613218543961</v>
      </c>
      <c r="AC57" s="48">
        <v>1.0170279432039058</v>
      </c>
      <c r="AD57" s="46">
        <v>1.0160765505302027</v>
      </c>
      <c r="AE57" s="48">
        <v>1.015363696494513</v>
      </c>
      <c r="AF57" s="48">
        <v>1.0148544240918347</v>
      </c>
      <c r="AG57" s="48">
        <v>1.0144798445615366</v>
      </c>
      <c r="AH57" s="19">
        <v>1.0141830945653258</v>
      </c>
      <c r="AI57" s="48">
        <v>1.0139389119327249</v>
      </c>
      <c r="AJ57" s="48">
        <v>1.0137259795976861</v>
      </c>
      <c r="AK57" s="48">
        <v>1.0135533548948366</v>
      </c>
      <c r="AL57" s="48">
        <v>1.0133892101622759</v>
      </c>
      <c r="AM57" s="19">
        <v>1.013249907182062</v>
      </c>
      <c r="AN57" s="49">
        <v>1.013249907182062</v>
      </c>
    </row>
    <row r="58" spans="12:40" x14ac:dyDescent="0.35">
      <c r="L58" s="46"/>
      <c r="M58" s="47">
        <v>0.90000000000000058</v>
      </c>
      <c r="N58" s="46">
        <v>1.2004193354618746</v>
      </c>
      <c r="O58" s="46">
        <v>1.1439949488389447</v>
      </c>
      <c r="P58" s="48">
        <v>1.1189377799956193</v>
      </c>
      <c r="Q58" s="48">
        <v>1.1041847194744818</v>
      </c>
      <c r="R58" s="48">
        <v>1.0867559813805199</v>
      </c>
      <c r="S58" s="19">
        <v>1.0764420689224032</v>
      </c>
      <c r="T58" s="46">
        <v>1.0692840302965747</v>
      </c>
      <c r="U58" s="48">
        <v>1.0619764560143219</v>
      </c>
      <c r="V58" s="48">
        <v>1.054095109910774</v>
      </c>
      <c r="W58" s="48">
        <v>1.0474877212900615</v>
      </c>
      <c r="X58" s="19">
        <v>1.0416350467172975</v>
      </c>
      <c r="Y58" s="48">
        <v>1.0365309867133141</v>
      </c>
      <c r="Z58" s="48">
        <v>1.032119784584153</v>
      </c>
      <c r="AA58" s="48">
        <v>1.0285977347026332</v>
      </c>
      <c r="AB58" s="48">
        <v>1.025656919901248</v>
      </c>
      <c r="AC58" s="48">
        <v>1.0232744163453098</v>
      </c>
      <c r="AD58" s="46">
        <v>1.0214612928825122</v>
      </c>
      <c r="AE58" s="48">
        <v>1.0200871362192339</v>
      </c>
      <c r="AF58" s="48">
        <v>1.0191359104795275</v>
      </c>
      <c r="AG58" s="48">
        <v>1.0183919741371097</v>
      </c>
      <c r="AH58" s="19">
        <v>1.0178255773057099</v>
      </c>
      <c r="AI58" s="48">
        <v>1.0173492149514698</v>
      </c>
      <c r="AJ58" s="48">
        <v>1.0169479762427232</v>
      </c>
      <c r="AK58" s="48">
        <v>1.0166140752315191</v>
      </c>
      <c r="AL58" s="48">
        <v>1.0163035483161544</v>
      </c>
      <c r="AM58" s="19">
        <v>1.0160441620726732</v>
      </c>
      <c r="AN58" s="49">
        <v>1.0160441620726732</v>
      </c>
    </row>
    <row r="59" spans="12:40" x14ac:dyDescent="0.35">
      <c r="L59" s="46"/>
      <c r="M59" s="47">
        <v>0.99000000000000066</v>
      </c>
      <c r="N59" s="46">
        <v>1.3931832412853686</v>
      </c>
      <c r="O59" s="46">
        <v>1.2711893087019692</v>
      </c>
      <c r="P59" s="48">
        <v>1.2194164975106594</v>
      </c>
      <c r="Q59" s="48">
        <v>1.1897133717563233</v>
      </c>
      <c r="R59" s="48">
        <v>1.1550196238299839</v>
      </c>
      <c r="S59" s="19">
        <v>1.1344028289721408</v>
      </c>
      <c r="T59" s="46">
        <v>1.1207543446217472</v>
      </c>
      <c r="U59" s="48">
        <v>1.1069661756893205</v>
      </c>
      <c r="V59" s="48">
        <v>1.0919291029289311</v>
      </c>
      <c r="W59" s="48">
        <v>1.0791187334518788</v>
      </c>
      <c r="X59" s="19">
        <v>1.0682480365109606</v>
      </c>
      <c r="Y59" s="48">
        <v>1.0585241365042752</v>
      </c>
      <c r="Z59" s="48">
        <v>1.0503841994275014</v>
      </c>
      <c r="AA59" s="48">
        <v>1.0438944006105924</v>
      </c>
      <c r="AB59" s="48">
        <v>1.0385125534515975</v>
      </c>
      <c r="AC59" s="48">
        <v>1.0341657258030894</v>
      </c>
      <c r="AD59" s="46">
        <v>1.0308686482733975</v>
      </c>
      <c r="AE59" s="48">
        <v>1.0283235825682095</v>
      </c>
      <c r="AF59" s="48">
        <v>1.0264924896623873</v>
      </c>
      <c r="AG59" s="48">
        <v>1.0251407370346977</v>
      </c>
      <c r="AH59" s="19">
        <v>1.024091128743734</v>
      </c>
      <c r="AI59" s="48">
        <v>1.0232343005035165</v>
      </c>
      <c r="AJ59" s="48">
        <v>1.0225028152067028</v>
      </c>
      <c r="AK59" s="48">
        <v>1.0218912385841348</v>
      </c>
      <c r="AL59" s="48">
        <v>1.0213037155171856</v>
      </c>
      <c r="AM59" s="19">
        <v>1.0208440274405304</v>
      </c>
      <c r="AN59" s="49">
        <v>1.0208440274405304</v>
      </c>
    </row>
    <row r="60" spans="12:40" x14ac:dyDescent="0.35">
      <c r="L60" s="50"/>
      <c r="M60" s="51">
        <v>0.999</v>
      </c>
      <c r="N60" s="50">
        <v>1.5527508864931143</v>
      </c>
      <c r="O60" s="50">
        <v>1.3747941744751755</v>
      </c>
      <c r="P60" s="52">
        <v>1.2975920580595908</v>
      </c>
      <c r="Q60" s="52">
        <v>1.2564395438572009</v>
      </c>
      <c r="R60" s="52">
        <v>1.2073138742773972</v>
      </c>
      <c r="S60" s="30">
        <v>1.1792123228472142</v>
      </c>
      <c r="T60" s="50">
        <v>1.1600081019457957</v>
      </c>
      <c r="U60" s="52">
        <v>1.1406708063461666</v>
      </c>
      <c r="V60" s="52">
        <v>1.1203869467643082</v>
      </c>
      <c r="W60" s="52">
        <v>1.1035989518658782</v>
      </c>
      <c r="X60" s="30">
        <v>1.0887964608901255</v>
      </c>
      <c r="Y60" s="52">
        <v>1.0752459775373862</v>
      </c>
      <c r="Z60" s="52">
        <v>1.064078892518054</v>
      </c>
      <c r="AA60" s="52">
        <v>1.0554794369868066</v>
      </c>
      <c r="AB60" s="52">
        <v>1.0478530532766417</v>
      </c>
      <c r="AC60" s="52">
        <v>1.0422064739246233</v>
      </c>
      <c r="AD60" s="50">
        <v>1.0376532650741204</v>
      </c>
      <c r="AE60" s="52">
        <v>1.0343531770229881</v>
      </c>
      <c r="AF60" s="52">
        <v>1.031980177939837</v>
      </c>
      <c r="AG60" s="52">
        <v>1.0301547485033817</v>
      </c>
      <c r="AH60" s="30">
        <v>1.028736467664557</v>
      </c>
      <c r="AI60" s="52">
        <v>1.0275657920901893</v>
      </c>
      <c r="AJ60" s="52">
        <v>1.0265526215626766</v>
      </c>
      <c r="AK60" s="52">
        <v>1.0256995748937612</v>
      </c>
      <c r="AL60" s="52">
        <v>1.0249377898453023</v>
      </c>
      <c r="AM60" s="30">
        <v>1.0242875532061542</v>
      </c>
      <c r="AN60" s="53">
        <v>1.0242875532061542</v>
      </c>
    </row>
    <row r="61" spans="12:40" x14ac:dyDescent="0.35">
      <c r="L61" s="41"/>
      <c r="M61" s="42">
        <v>1E-3</v>
      </c>
      <c r="N61" s="41">
        <v>0.53334078454770784</v>
      </c>
      <c r="O61" s="41">
        <v>0.64573053096631416</v>
      </c>
      <c r="P61" s="43">
        <v>0.70212420002185993</v>
      </c>
      <c r="Q61" s="43">
        <v>0.73773988577948735</v>
      </c>
      <c r="R61" s="43">
        <v>0.78417026918450761</v>
      </c>
      <c r="S61" s="44">
        <v>0.8128664577291449</v>
      </c>
      <c r="T61" s="41">
        <v>0.8327497462572484</v>
      </c>
      <c r="U61" s="43">
        <v>0.85378261613259376</v>
      </c>
      <c r="V61" s="43">
        <v>0.87713719018970959</v>
      </c>
      <c r="W61" s="43">
        <v>0.89756947275242638</v>
      </c>
      <c r="X61" s="44">
        <v>0.91598206616258981</v>
      </c>
      <c r="Y61" s="43">
        <v>0.93221883150026819</v>
      </c>
      <c r="Z61" s="43">
        <v>0.94698073714023323</v>
      </c>
      <c r="AA61" s="43">
        <v>0.95829959743293136</v>
      </c>
      <c r="AB61" s="43">
        <v>0.96820945288531923</v>
      </c>
      <c r="AC61" s="43">
        <v>0.97592948600718132</v>
      </c>
      <c r="AD61" s="41">
        <v>0.98201509377202068</v>
      </c>
      <c r="AE61" s="43">
        <v>0.98689926523786131</v>
      </c>
      <c r="AF61" s="43">
        <v>0.9901565382496057</v>
      </c>
      <c r="AG61" s="43">
        <v>0.99253420139854787</v>
      </c>
      <c r="AH61" s="44">
        <v>0.99460748915530717</v>
      </c>
      <c r="AI61" s="43">
        <v>0.99629226485879463</v>
      </c>
      <c r="AJ61" s="43">
        <v>0.99762238070359788</v>
      </c>
      <c r="AK61" s="43">
        <v>0.99876060077110707</v>
      </c>
      <c r="AL61" s="43">
        <v>0.99985294717542839</v>
      </c>
      <c r="AM61" s="44">
        <v>1.0007191956761528</v>
      </c>
      <c r="AN61" s="45">
        <v>1.0007191956761528</v>
      </c>
    </row>
    <row r="62" spans="12:40" x14ac:dyDescent="0.35">
      <c r="L62" s="46"/>
      <c r="M62" s="47">
        <v>0.01</v>
      </c>
      <c r="N62" s="46">
        <v>0.6216692967256906</v>
      </c>
      <c r="O62" s="46">
        <v>0.72070475727684946</v>
      </c>
      <c r="P62" s="48">
        <v>0.76885864373804214</v>
      </c>
      <c r="Q62" s="48">
        <v>0.79943061558987838</v>
      </c>
      <c r="R62" s="48">
        <v>0.83644034838732595</v>
      </c>
      <c r="S62" s="19">
        <v>0.85942461608092224</v>
      </c>
      <c r="T62" s="46">
        <v>0.87542328643210288</v>
      </c>
      <c r="U62" s="48">
        <v>0.89217798381351132</v>
      </c>
      <c r="V62" s="48">
        <v>0.91067308488307486</v>
      </c>
      <c r="W62" s="48">
        <v>0.9268808977927887</v>
      </c>
      <c r="X62" s="19">
        <v>0.9408995936179454</v>
      </c>
      <c r="Y62" s="48">
        <v>0.95338313566844024</v>
      </c>
      <c r="Z62" s="48">
        <v>0.96459223027391283</v>
      </c>
      <c r="AA62" s="48">
        <v>0.97342617105742635</v>
      </c>
      <c r="AB62" s="48">
        <v>0.98087614934890488</v>
      </c>
      <c r="AC62" s="48">
        <v>0.98696861538344427</v>
      </c>
      <c r="AD62" s="46">
        <v>0.99168422664497402</v>
      </c>
      <c r="AE62" s="48">
        <v>0.99520919891055404</v>
      </c>
      <c r="AF62" s="48">
        <v>0.99771976935647977</v>
      </c>
      <c r="AG62" s="48">
        <v>0.99960666714398039</v>
      </c>
      <c r="AH62" s="19">
        <v>1.0011235756115684</v>
      </c>
      <c r="AI62" s="48">
        <v>1.0023879057163674</v>
      </c>
      <c r="AJ62" s="48">
        <v>1.0033680384931913</v>
      </c>
      <c r="AK62" s="48">
        <v>1.0042573582550196</v>
      </c>
      <c r="AL62" s="48">
        <v>1.0050483652136706</v>
      </c>
      <c r="AM62" s="19">
        <v>1.0057388409437591</v>
      </c>
      <c r="AN62" s="49">
        <v>1.0057388409437591</v>
      </c>
    </row>
    <row r="63" spans="12:40" x14ac:dyDescent="0.35">
      <c r="L63" s="46"/>
      <c r="M63" s="47">
        <v>9.9999999999999992E-2</v>
      </c>
      <c r="N63" s="46">
        <v>0.76941328977793155</v>
      </c>
      <c r="O63" s="46">
        <v>0.83872698436011395</v>
      </c>
      <c r="P63" s="48">
        <v>0.87083434096186074</v>
      </c>
      <c r="Q63" s="48">
        <v>0.89014185082993058</v>
      </c>
      <c r="R63" s="48">
        <v>0.91350470703608955</v>
      </c>
      <c r="S63" s="19">
        <v>0.92757702974553147</v>
      </c>
      <c r="T63" s="46">
        <v>0.93711868936995779</v>
      </c>
      <c r="U63" s="48">
        <v>0.94728242068718183</v>
      </c>
      <c r="V63" s="48">
        <v>0.95833018106588141</v>
      </c>
      <c r="W63" s="48">
        <v>0.96766484371852912</v>
      </c>
      <c r="X63" s="19">
        <v>0.97591117226303425</v>
      </c>
      <c r="Y63" s="48">
        <v>0.98319930073537753</v>
      </c>
      <c r="Z63" s="48">
        <v>0.98953628511208447</v>
      </c>
      <c r="AA63" s="48">
        <v>0.99455608818822838</v>
      </c>
      <c r="AB63" s="48">
        <v>0.99873346559025034</v>
      </c>
      <c r="AC63" s="48">
        <v>1.0021012758806749</v>
      </c>
      <c r="AD63" s="46">
        <v>1.0047555276630915</v>
      </c>
      <c r="AE63" s="48">
        <v>1.0067609813282623</v>
      </c>
      <c r="AF63" s="48">
        <v>1.0081730515074305</v>
      </c>
      <c r="AG63" s="48">
        <v>1.0092393088876792</v>
      </c>
      <c r="AH63" s="19">
        <v>1.0100571374844023</v>
      </c>
      <c r="AI63" s="48">
        <v>1.010744137131337</v>
      </c>
      <c r="AJ63" s="48">
        <v>1.0113261137504708</v>
      </c>
      <c r="AK63" s="48">
        <v>1.01181119184349</v>
      </c>
      <c r="AL63" s="48">
        <v>1.0122409121395242</v>
      </c>
      <c r="AM63" s="19">
        <v>1.0126357221350089</v>
      </c>
      <c r="AN63" s="49">
        <v>1.0126357221350089</v>
      </c>
    </row>
    <row r="64" spans="12:40" x14ac:dyDescent="0.35">
      <c r="L64" s="46"/>
      <c r="M64" s="47">
        <v>0.25000000000000006</v>
      </c>
      <c r="N64" s="46">
        <v>0.87117349363854202</v>
      </c>
      <c r="O64" s="46">
        <v>0.91604667927585248</v>
      </c>
      <c r="P64" s="48">
        <v>0.93596266782295889</v>
      </c>
      <c r="Q64" s="48">
        <v>0.94741522473002937</v>
      </c>
      <c r="R64" s="48">
        <v>0.96135082582271036</v>
      </c>
      <c r="S64" s="19">
        <v>0.96959178808610158</v>
      </c>
      <c r="T64" s="46">
        <v>0.97510406339685751</v>
      </c>
      <c r="U64" s="48">
        <v>0.98077966016404305</v>
      </c>
      <c r="V64" s="48">
        <v>0.98699877829052274</v>
      </c>
      <c r="W64" s="48">
        <v>0.99224617372377677</v>
      </c>
      <c r="X64" s="19">
        <v>0.99677526220535673</v>
      </c>
      <c r="Y64" s="48">
        <v>1.0007776496297411</v>
      </c>
      <c r="Z64" s="48">
        <v>1.0042562610319408</v>
      </c>
      <c r="AA64" s="48">
        <v>1.006970156497256</v>
      </c>
      <c r="AB64" s="48">
        <v>1.0092293466348452</v>
      </c>
      <c r="AC64" s="48">
        <v>1.0110293907682346</v>
      </c>
      <c r="AD64" s="46">
        <v>1.0124484853916922</v>
      </c>
      <c r="AE64" s="48">
        <v>1.0135213859522847</v>
      </c>
      <c r="AF64" s="48">
        <v>1.0143029269237507</v>
      </c>
      <c r="AG64" s="48">
        <v>1.0148539977150617</v>
      </c>
      <c r="AH64" s="19">
        <v>1.0152960184370938</v>
      </c>
      <c r="AI64" s="48">
        <v>1.0156567071323335</v>
      </c>
      <c r="AJ64" s="48">
        <v>1.0159601897737898</v>
      </c>
      <c r="AK64" s="48">
        <v>1.0162294075029106</v>
      </c>
      <c r="AL64" s="48">
        <v>1.0164632237558697</v>
      </c>
      <c r="AM64" s="19">
        <v>1.016659092531492</v>
      </c>
      <c r="AN64" s="49">
        <v>1.016659092531492</v>
      </c>
    </row>
    <row r="65" spans="12:40" x14ac:dyDescent="0.35">
      <c r="L65" s="46">
        <f>M28</f>
        <v>1.3</v>
      </c>
      <c r="M65" s="47">
        <v>0.50000000000000022</v>
      </c>
      <c r="N65" s="46">
        <v>1.0000538367552791</v>
      </c>
      <c r="O65" s="46">
        <v>1.0104677836093194</v>
      </c>
      <c r="P65" s="48">
        <v>1.0140442068287854</v>
      </c>
      <c r="Q65" s="48">
        <v>1.0157716591069734</v>
      </c>
      <c r="R65" s="48">
        <v>1.0174495521254847</v>
      </c>
      <c r="S65" s="19">
        <v>1.0184182982025551</v>
      </c>
      <c r="T65" s="46">
        <v>1.018942358520059</v>
      </c>
      <c r="U65" s="48">
        <v>1.0194769344010965</v>
      </c>
      <c r="V65" s="48">
        <v>1.0199584174021112</v>
      </c>
      <c r="W65" s="48">
        <v>1.0203298952915234</v>
      </c>
      <c r="X65" s="19">
        <v>1.0205597584733201</v>
      </c>
      <c r="Y65" s="48">
        <v>1.0207272339361004</v>
      </c>
      <c r="Z65" s="48">
        <v>1.0208790317340322</v>
      </c>
      <c r="AA65" s="48">
        <v>1.0209663326688769</v>
      </c>
      <c r="AB65" s="48">
        <v>1.0210113636915115</v>
      </c>
      <c r="AC65" s="48">
        <v>1.0210640937261815</v>
      </c>
      <c r="AD65" s="46">
        <v>1.0210977598098554</v>
      </c>
      <c r="AE65" s="48">
        <v>1.0211121852228884</v>
      </c>
      <c r="AF65" s="48">
        <v>1.0211221468457219</v>
      </c>
      <c r="AG65" s="48">
        <v>1.0211272199285628</v>
      </c>
      <c r="AH65" s="19">
        <v>1.0211422056160424</v>
      </c>
      <c r="AI65" s="48">
        <v>1.0211568315384727</v>
      </c>
      <c r="AJ65" s="48">
        <v>1.0211627306441515</v>
      </c>
      <c r="AK65" s="48">
        <v>1.0211596453378819</v>
      </c>
      <c r="AL65" s="48">
        <v>1.0211670271151405</v>
      </c>
      <c r="AM65" s="19">
        <v>1.0211690475833288</v>
      </c>
      <c r="AN65" s="49">
        <v>1.0211690475833288</v>
      </c>
    </row>
    <row r="66" spans="12:40" x14ac:dyDescent="0.35">
      <c r="L66" s="46"/>
      <c r="M66" s="47">
        <v>0.75000000000000044</v>
      </c>
      <c r="N66" s="46">
        <v>1.1480749951809019</v>
      </c>
      <c r="O66" s="46">
        <v>1.1145834907202583</v>
      </c>
      <c r="P66" s="48">
        <v>1.098691061112631</v>
      </c>
      <c r="Q66" s="48">
        <v>1.0888669459916982</v>
      </c>
      <c r="R66" s="48">
        <v>1.077018663067105</v>
      </c>
      <c r="S66" s="19">
        <v>1.0700084996416344</v>
      </c>
      <c r="T66" s="46">
        <v>1.0648183279822181</v>
      </c>
      <c r="U66" s="48">
        <v>1.0596714438639132</v>
      </c>
      <c r="V66" s="48">
        <v>1.0539474183946385</v>
      </c>
      <c r="W66" s="48">
        <v>1.0491944659282795</v>
      </c>
      <c r="X66" s="19">
        <v>1.0449763294628482</v>
      </c>
      <c r="Y66" s="48">
        <v>1.0410789998393233</v>
      </c>
      <c r="Z66" s="48">
        <v>1.0378499610175171</v>
      </c>
      <c r="AA66" s="48">
        <v>1.0352116396282325</v>
      </c>
      <c r="AB66" s="48">
        <v>1.0329814591048865</v>
      </c>
      <c r="AC66" s="48">
        <v>1.0311836043099381</v>
      </c>
      <c r="AD66" s="46">
        <v>1.0298044538246858</v>
      </c>
      <c r="AE66" s="48">
        <v>1.028760177545081</v>
      </c>
      <c r="AF66" s="48">
        <v>1.0280170277920873</v>
      </c>
      <c r="AG66" s="48">
        <v>1.0274738218657968</v>
      </c>
      <c r="AH66" s="19">
        <v>1.027044610933993</v>
      </c>
      <c r="AI66" s="48">
        <v>1.0266903686472244</v>
      </c>
      <c r="AJ66" s="48">
        <v>1.0263752413718612</v>
      </c>
      <c r="AK66" s="48">
        <v>1.0261229225042476</v>
      </c>
      <c r="AL66" s="48">
        <v>1.0258780629901856</v>
      </c>
      <c r="AM66" s="19">
        <v>1.0256782588883884</v>
      </c>
      <c r="AN66" s="49">
        <v>1.0256782588883884</v>
      </c>
    </row>
    <row r="67" spans="12:40" x14ac:dyDescent="0.35">
      <c r="L67" s="46"/>
      <c r="M67" s="47">
        <v>0.90000000000000058</v>
      </c>
      <c r="N67" s="46">
        <v>1.3006537680127805</v>
      </c>
      <c r="O67" s="46">
        <v>1.2180780203166728</v>
      </c>
      <c r="P67" s="48">
        <v>1.1812594916794599</v>
      </c>
      <c r="Q67" s="48">
        <v>1.1593825059603884</v>
      </c>
      <c r="R67" s="48">
        <v>1.1337174618484684</v>
      </c>
      <c r="S67" s="19">
        <v>1.1184779799830706</v>
      </c>
      <c r="T67" s="46">
        <v>1.1079862593520429</v>
      </c>
      <c r="U67" s="48">
        <v>1.0972003044315144</v>
      </c>
      <c r="V67" s="48">
        <v>1.0856606483169247</v>
      </c>
      <c r="W67" s="48">
        <v>1.0759001760112485</v>
      </c>
      <c r="X67" s="19">
        <v>1.0673507886960001</v>
      </c>
      <c r="Y67" s="48">
        <v>1.0598042938445471</v>
      </c>
      <c r="Z67" s="48">
        <v>1.0533241692128361</v>
      </c>
      <c r="AA67" s="48">
        <v>1.0481645714431382</v>
      </c>
      <c r="AB67" s="48">
        <v>1.043855873340741</v>
      </c>
      <c r="AC67" s="48">
        <v>1.0403756937075741</v>
      </c>
      <c r="AD67" s="46">
        <v>1.0376952602651794</v>
      </c>
      <c r="AE67" s="48">
        <v>1.0356963051862182</v>
      </c>
      <c r="AF67" s="48">
        <v>1.034301490412018</v>
      </c>
      <c r="AG67" s="48">
        <v>1.0332139503583024</v>
      </c>
      <c r="AH67" s="19">
        <v>1.0323792368356206</v>
      </c>
      <c r="AI67" s="48">
        <v>1.031691185858139</v>
      </c>
      <c r="AJ67" s="48">
        <v>1.0310953391445232</v>
      </c>
      <c r="AK67" s="48">
        <v>1.0306058521445634</v>
      </c>
      <c r="AL67" s="48">
        <v>1.0301523310440857</v>
      </c>
      <c r="AM67" s="19">
        <v>1.0297739665693895</v>
      </c>
      <c r="AN67" s="49">
        <v>1.0297739665693895</v>
      </c>
    </row>
    <row r="68" spans="12:40" x14ac:dyDescent="0.35">
      <c r="L68" s="46"/>
      <c r="M68" s="47">
        <v>0.99000000000000066</v>
      </c>
      <c r="N68" s="46">
        <v>1.6115012962698207</v>
      </c>
      <c r="O68" s="46">
        <v>1.4182489970968046</v>
      </c>
      <c r="P68" s="48">
        <v>1.3375827692683564</v>
      </c>
      <c r="Q68" s="48">
        <v>1.2915629012338548</v>
      </c>
      <c r="R68" s="48">
        <v>1.2381187002282008</v>
      </c>
      <c r="S68" s="19">
        <v>1.2067162593579421</v>
      </c>
      <c r="T68" s="46">
        <v>1.1860884694101759</v>
      </c>
      <c r="U68" s="48">
        <v>1.1651984215404956</v>
      </c>
      <c r="V68" s="48">
        <v>1.142471108632495</v>
      </c>
      <c r="W68" s="48">
        <v>1.1232590257253554</v>
      </c>
      <c r="X68" s="19">
        <v>1.1070134255523358</v>
      </c>
      <c r="Y68" s="48">
        <v>1.0925372747719944</v>
      </c>
      <c r="Z68" s="48">
        <v>1.0804554565170859</v>
      </c>
      <c r="AA68" s="48">
        <v>1.0708306693410545</v>
      </c>
      <c r="AB68" s="48">
        <v>1.0628300834314803</v>
      </c>
      <c r="AC68" s="48">
        <v>1.0564396522993547</v>
      </c>
      <c r="AD68" s="46">
        <v>1.0515555529009766</v>
      </c>
      <c r="AE68" s="48">
        <v>1.0478084291907377</v>
      </c>
      <c r="AF68" s="48">
        <v>1.0451041268590597</v>
      </c>
      <c r="AG68" s="48">
        <v>1.0431246062223385</v>
      </c>
      <c r="AH68" s="19">
        <v>1.0415900724719054</v>
      </c>
      <c r="AI68" s="48">
        <v>1.0403184645785768</v>
      </c>
      <c r="AJ68" s="48">
        <v>1.0392577984619791</v>
      </c>
      <c r="AK68" s="48">
        <v>1.0383726715628037</v>
      </c>
      <c r="AL68" s="48">
        <v>1.0375093390942633</v>
      </c>
      <c r="AM68" s="19">
        <v>1.0368059289380531</v>
      </c>
      <c r="AN68" s="49">
        <v>1.0368059289380531</v>
      </c>
    </row>
    <row r="69" spans="12:40" x14ac:dyDescent="0.35">
      <c r="L69" s="50"/>
      <c r="M69" s="51">
        <v>0.999</v>
      </c>
      <c r="N69" s="50">
        <v>1.8836455536822674</v>
      </c>
      <c r="O69" s="50">
        <v>1.5872465322082825</v>
      </c>
      <c r="P69" s="52">
        <v>1.4638258844710859</v>
      </c>
      <c r="Q69" s="52">
        <v>1.3981917979236345</v>
      </c>
      <c r="R69" s="52">
        <v>1.3206081414333897</v>
      </c>
      <c r="S69" s="30">
        <v>1.2761187584171669</v>
      </c>
      <c r="T69" s="50">
        <v>1.2467659027101459</v>
      </c>
      <c r="U69" s="52">
        <v>1.2168500168601617</v>
      </c>
      <c r="V69" s="52">
        <v>1.1859598228814638</v>
      </c>
      <c r="W69" s="52">
        <v>1.1605937046216752</v>
      </c>
      <c r="X69" s="30">
        <v>1.1381327137709158</v>
      </c>
      <c r="Y69" s="52">
        <v>1.1176892723876399</v>
      </c>
      <c r="Z69" s="52">
        <v>1.1009146685019289</v>
      </c>
      <c r="AA69" s="52">
        <v>1.0879222976921568</v>
      </c>
      <c r="AB69" s="52">
        <v>1.0767164049626905</v>
      </c>
      <c r="AC69" s="52">
        <v>1.0683477047261913</v>
      </c>
      <c r="AD69" s="50">
        <v>1.0615752156002272</v>
      </c>
      <c r="AE69" s="52">
        <v>1.0567445420388881</v>
      </c>
      <c r="AF69" s="52">
        <v>1.0532351933475275</v>
      </c>
      <c r="AG69" s="52">
        <v>1.0505407706824306</v>
      </c>
      <c r="AH69" s="30">
        <v>1.0484186026907212</v>
      </c>
      <c r="AI69" s="52">
        <v>1.0467303337927556</v>
      </c>
      <c r="AJ69" s="52">
        <v>1.0452289246184434</v>
      </c>
      <c r="AK69" s="52">
        <v>1.0439686664105505</v>
      </c>
      <c r="AL69" s="52">
        <v>1.0428113364898823</v>
      </c>
      <c r="AM69" s="30">
        <v>1.0419163141151548</v>
      </c>
      <c r="AN69" s="53">
        <v>1.0419163141151548</v>
      </c>
    </row>
    <row r="70" spans="12:40" x14ac:dyDescent="0.35">
      <c r="L70" s="41"/>
      <c r="M70" s="42">
        <v>1E-3</v>
      </c>
      <c r="N70" s="41">
        <v>0.41056391224656374</v>
      </c>
      <c r="O70" s="41">
        <v>0.54019592617460277</v>
      </c>
      <c r="P70" s="43">
        <v>0.60941187830422627</v>
      </c>
      <c r="Q70" s="43">
        <v>0.65421274100070237</v>
      </c>
      <c r="R70" s="43">
        <v>0.71461754301697111</v>
      </c>
      <c r="S70" s="44">
        <v>0.75209883053228421</v>
      </c>
      <c r="T70" s="41">
        <v>0.77821605985988396</v>
      </c>
      <c r="U70" s="43">
        <v>0.80698431964300954</v>
      </c>
      <c r="V70" s="43">
        <v>0.83899873213032861</v>
      </c>
      <c r="W70" s="43">
        <v>0.86701033593473453</v>
      </c>
      <c r="X70" s="44">
        <v>0.8926209843520605</v>
      </c>
      <c r="Y70" s="43">
        <v>0.91532005258458649</v>
      </c>
      <c r="Z70" s="43">
        <v>0.93610838109730132</v>
      </c>
      <c r="AA70" s="43">
        <v>0.95223041787503715</v>
      </c>
      <c r="AB70" s="43">
        <v>0.96644493714619184</v>
      </c>
      <c r="AC70" s="43">
        <v>0.97752942073870674</v>
      </c>
      <c r="AD70" s="41">
        <v>0.98613584139622534</v>
      </c>
      <c r="AE70" s="43">
        <v>0.99310220090564316</v>
      </c>
      <c r="AF70" s="43">
        <v>0.99781729395346885</v>
      </c>
      <c r="AG70" s="43">
        <v>1.0012577941459351</v>
      </c>
      <c r="AH70" s="44">
        <v>1.0043430634274348</v>
      </c>
      <c r="AI70" s="43">
        <v>1.0067296578105178</v>
      </c>
      <c r="AJ70" s="43">
        <v>1.0086391299604542</v>
      </c>
      <c r="AK70" s="43">
        <v>1.0103182947196443</v>
      </c>
      <c r="AL70" s="43">
        <v>1.0118781856034238</v>
      </c>
      <c r="AM70" s="44">
        <v>1.0131215604243007</v>
      </c>
      <c r="AN70" s="45">
        <v>1.0131215604243007</v>
      </c>
    </row>
    <row r="71" spans="12:40" x14ac:dyDescent="0.35">
      <c r="L71" s="46"/>
      <c r="M71" s="47">
        <v>0.01</v>
      </c>
      <c r="N71" s="46">
        <v>0.51007761414336861</v>
      </c>
      <c r="O71" s="46">
        <v>0.6315556599631893</v>
      </c>
      <c r="P71" s="48">
        <v>0.69333832813424501</v>
      </c>
      <c r="Q71" s="48">
        <v>0.73355554088717212</v>
      </c>
      <c r="R71" s="48">
        <v>0.78294568040069201</v>
      </c>
      <c r="S71" s="19">
        <v>0.81423686049285759</v>
      </c>
      <c r="T71" s="46">
        <v>0.83600015363777302</v>
      </c>
      <c r="U71" s="48">
        <v>0.85912919001077526</v>
      </c>
      <c r="V71" s="48">
        <v>0.88482413582935027</v>
      </c>
      <c r="W71" s="48">
        <v>0.90742786368868233</v>
      </c>
      <c r="X71" s="19">
        <v>0.92731645431410448</v>
      </c>
      <c r="Y71" s="48">
        <v>0.9451335398160372</v>
      </c>
      <c r="Z71" s="48">
        <v>0.96103692595144719</v>
      </c>
      <c r="AA71" s="48">
        <v>0.97377608998357434</v>
      </c>
      <c r="AB71" s="48">
        <v>0.98450733389148881</v>
      </c>
      <c r="AC71" s="48">
        <v>0.99324616987459013</v>
      </c>
      <c r="AD71" s="46">
        <v>1.0000531097109744</v>
      </c>
      <c r="AE71" s="48">
        <v>1.0051585338284383</v>
      </c>
      <c r="AF71" s="48">
        <v>1.0087746012580878</v>
      </c>
      <c r="AG71" s="48">
        <v>1.0115301730572297</v>
      </c>
      <c r="AH71" s="19">
        <v>1.013752676289817</v>
      </c>
      <c r="AI71" s="48">
        <v>1.0155788098502556</v>
      </c>
      <c r="AJ71" s="48">
        <v>1.0169685180456844</v>
      </c>
      <c r="AK71" s="48">
        <v>1.0182607892896711</v>
      </c>
      <c r="AL71" s="48">
        <v>1.0194208168702865</v>
      </c>
      <c r="AM71" s="19">
        <v>1.0204192338335176</v>
      </c>
      <c r="AN71" s="49">
        <v>1.0204192338335176</v>
      </c>
    </row>
    <row r="72" spans="12:40" x14ac:dyDescent="0.35">
      <c r="L72" s="46"/>
      <c r="M72" s="47">
        <v>9.9999999999999992E-2</v>
      </c>
      <c r="N72" s="46">
        <v>0.68988693161502379</v>
      </c>
      <c r="O72" s="46">
        <v>0.78334685421246908</v>
      </c>
      <c r="P72" s="48">
        <v>0.82772912754299577</v>
      </c>
      <c r="Q72" s="48">
        <v>0.85468981905735386</v>
      </c>
      <c r="R72" s="48">
        <v>0.8875963363358701</v>
      </c>
      <c r="S72" s="19">
        <v>0.90754865979533783</v>
      </c>
      <c r="T72" s="46">
        <v>0.92126105819063531</v>
      </c>
      <c r="U72" s="48">
        <v>0.93582987449663002</v>
      </c>
      <c r="V72" s="48">
        <v>0.95167781399065277</v>
      </c>
      <c r="W72" s="48">
        <v>0.96517089262956468</v>
      </c>
      <c r="X72" s="19">
        <v>0.97706297068792869</v>
      </c>
      <c r="Y72" s="48">
        <v>0.98765151464703183</v>
      </c>
      <c r="Z72" s="48">
        <v>0.99680849176235453</v>
      </c>
      <c r="AA72" s="48">
        <v>1.0041164339047155</v>
      </c>
      <c r="AB72" s="48">
        <v>1.0102014758070312</v>
      </c>
      <c r="AC72" s="48">
        <v>1.0150875442534608</v>
      </c>
      <c r="AD72" s="46">
        <v>1.0189554951721187</v>
      </c>
      <c r="AE72" s="48">
        <v>1.021892879618914</v>
      </c>
      <c r="AF72" s="48">
        <v>1.0239400486896497</v>
      </c>
      <c r="AG72" s="48">
        <v>1.0254949781315126</v>
      </c>
      <c r="AH72" s="19">
        <v>1.0266923985030894</v>
      </c>
      <c r="AI72" s="48">
        <v>1.027695914397484</v>
      </c>
      <c r="AJ72" s="48">
        <v>1.0285323211831017</v>
      </c>
      <c r="AK72" s="48">
        <v>1.0292402826727123</v>
      </c>
      <c r="AL72" s="48">
        <v>1.0298745400538107</v>
      </c>
      <c r="AM72" s="19">
        <v>1.0304481068633662</v>
      </c>
      <c r="AN72" s="49">
        <v>1.0304481068633662</v>
      </c>
    </row>
    <row r="73" spans="12:40" x14ac:dyDescent="0.35">
      <c r="L73" s="46"/>
      <c r="M73" s="47">
        <v>0.25000000000000006</v>
      </c>
      <c r="N73" s="46">
        <v>0.8225749121300906</v>
      </c>
      <c r="O73" s="46">
        <v>0.88787643081746881</v>
      </c>
      <c r="P73" s="48">
        <v>0.91720503120541674</v>
      </c>
      <c r="Q73" s="48">
        <v>0.93402066100649928</v>
      </c>
      <c r="R73" s="48">
        <v>0.95463627673744189</v>
      </c>
      <c r="S73" s="19">
        <v>0.9668134669065328</v>
      </c>
      <c r="T73" s="46">
        <v>0.97497851570283089</v>
      </c>
      <c r="U73" s="48">
        <v>0.98335552463462905</v>
      </c>
      <c r="V73" s="48">
        <v>0.99258706481624959</v>
      </c>
      <c r="W73" s="48">
        <v>1.0003562692391839</v>
      </c>
      <c r="X73" s="19">
        <v>1.0070660787418837</v>
      </c>
      <c r="Y73" s="48">
        <v>1.0129615592582255</v>
      </c>
      <c r="Z73" s="48">
        <v>1.0181080071828448</v>
      </c>
      <c r="AA73" s="48">
        <v>1.0220919803451589</v>
      </c>
      <c r="AB73" s="48">
        <v>1.0254003746395026</v>
      </c>
      <c r="AC73" s="48">
        <v>1.0280549283471001</v>
      </c>
      <c r="AD73" s="46">
        <v>1.0301297436572023</v>
      </c>
      <c r="AE73" s="48">
        <v>1.0317138477416834</v>
      </c>
      <c r="AF73" s="48">
        <v>1.0328567230447063</v>
      </c>
      <c r="AG73" s="48">
        <v>1.0336728746729467</v>
      </c>
      <c r="AH73" s="19">
        <v>1.0343380014790378</v>
      </c>
      <c r="AI73" s="48">
        <v>1.0348472882768029</v>
      </c>
      <c r="AJ73" s="48">
        <v>1.0352920864331798</v>
      </c>
      <c r="AK73" s="48">
        <v>1.0356870288421984</v>
      </c>
      <c r="AL73" s="48">
        <v>1.0360321293074799</v>
      </c>
      <c r="AM73" s="19">
        <v>1.0363139991009092</v>
      </c>
      <c r="AN73" s="49">
        <v>1.0363139991009092</v>
      </c>
    </row>
    <row r="74" spans="12:40" x14ac:dyDescent="0.35">
      <c r="L74" s="46">
        <f>M29</f>
        <v>1.45</v>
      </c>
      <c r="M74" s="47">
        <v>0.50000000000000022</v>
      </c>
      <c r="N74" s="46">
        <v>1.0000762451411984</v>
      </c>
      <c r="O74" s="46">
        <v>1.0206962304070042</v>
      </c>
      <c r="P74" s="48">
        <v>1.0279563714501241</v>
      </c>
      <c r="Q74" s="48">
        <v>1.0315949950842311</v>
      </c>
      <c r="R74" s="48">
        <v>1.0350959588119726</v>
      </c>
      <c r="S74" s="19">
        <v>1.0371365178268244</v>
      </c>
      <c r="T74" s="46">
        <v>1.0382444538711608</v>
      </c>
      <c r="U74" s="48">
        <v>1.0393654742703444</v>
      </c>
      <c r="V74" s="48">
        <v>1.0403016219233723</v>
      </c>
      <c r="W74" s="48">
        <v>1.0410866959020266</v>
      </c>
      <c r="X74" s="19">
        <v>1.0415989092452564</v>
      </c>
      <c r="Y74" s="48">
        <v>1.0420060542331049</v>
      </c>
      <c r="Z74" s="48">
        <v>1.0422932238729765</v>
      </c>
      <c r="AA74" s="48">
        <v>1.0424765227829389</v>
      </c>
      <c r="AB74" s="48">
        <v>1.0425657526262024</v>
      </c>
      <c r="AC74" s="48">
        <v>1.042680408888419</v>
      </c>
      <c r="AD74" s="46">
        <v>1.042751520562784</v>
      </c>
      <c r="AE74" s="48">
        <v>1.0428003822726279</v>
      </c>
      <c r="AF74" s="48">
        <v>1.0428093656275856</v>
      </c>
      <c r="AG74" s="48">
        <v>1.0428285755759272</v>
      </c>
      <c r="AH74" s="19">
        <v>1.0428519974318036</v>
      </c>
      <c r="AI74" s="48">
        <v>1.0428712376384235</v>
      </c>
      <c r="AJ74" s="48">
        <v>1.0428817332182767</v>
      </c>
      <c r="AK74" s="48">
        <v>1.0428817908800925</v>
      </c>
      <c r="AL74" s="48">
        <v>1.0428942631793054</v>
      </c>
      <c r="AM74" s="19">
        <v>1.0428971350068024</v>
      </c>
      <c r="AN74" s="49">
        <v>1.0428971350068024</v>
      </c>
    </row>
    <row r="75" spans="12:40" x14ac:dyDescent="0.35">
      <c r="L75" s="46"/>
      <c r="M75" s="47">
        <v>0.75000000000000044</v>
      </c>
      <c r="N75" s="46">
        <v>1.215991755970484</v>
      </c>
      <c r="O75" s="46">
        <v>1.1736384265400752</v>
      </c>
      <c r="P75" s="48">
        <v>1.1524669170068556</v>
      </c>
      <c r="Q75" s="48">
        <v>1.1390005563896604</v>
      </c>
      <c r="R75" s="48">
        <v>1.122825509212003</v>
      </c>
      <c r="S75" s="19">
        <v>1.1130187872645048</v>
      </c>
      <c r="T75" s="46">
        <v>1.1057682753386671</v>
      </c>
      <c r="U75" s="48">
        <v>1.0983947634792999</v>
      </c>
      <c r="V75" s="48">
        <v>1.0903508537694908</v>
      </c>
      <c r="W75" s="48">
        <v>1.0834458539093061</v>
      </c>
      <c r="X75" s="19">
        <v>1.077471939327296</v>
      </c>
      <c r="Y75" s="48">
        <v>1.0718460857422305</v>
      </c>
      <c r="Z75" s="48">
        <v>1.0671489936060252</v>
      </c>
      <c r="AA75" s="48">
        <v>1.0633408953270693</v>
      </c>
      <c r="AB75" s="48">
        <v>1.060128698623815</v>
      </c>
      <c r="AC75" s="48">
        <v>1.0575202622590953</v>
      </c>
      <c r="AD75" s="46">
        <v>1.0555060490512047</v>
      </c>
      <c r="AE75" s="48">
        <v>1.0539922442809928</v>
      </c>
      <c r="AF75" s="48">
        <v>1.0529127625462178</v>
      </c>
      <c r="AG75" s="48">
        <v>1.0521151897454022</v>
      </c>
      <c r="AH75" s="19">
        <v>1.0514926220104297</v>
      </c>
      <c r="AI75" s="48">
        <v>1.0509749756873668</v>
      </c>
      <c r="AJ75" s="48">
        <v>1.0505155841158635</v>
      </c>
      <c r="AK75" s="48">
        <v>1.0501440372061306</v>
      </c>
      <c r="AL75" s="48">
        <v>1.049792736913576</v>
      </c>
      <c r="AM75" s="19">
        <v>1.049496978672529</v>
      </c>
      <c r="AN75" s="49">
        <v>1.049496978672529</v>
      </c>
    </row>
    <row r="76" spans="12:40" x14ac:dyDescent="0.35">
      <c r="L76" s="46"/>
      <c r="M76" s="47">
        <v>0.90000000000000058</v>
      </c>
      <c r="N76" s="46">
        <v>1.4510328141810587</v>
      </c>
      <c r="O76" s="46">
        <v>1.3319645001330356</v>
      </c>
      <c r="P76" s="48">
        <v>1.2779941547308886</v>
      </c>
      <c r="Q76" s="48">
        <v>1.2460614527812957</v>
      </c>
      <c r="R76" s="48">
        <v>1.208395946823748</v>
      </c>
      <c r="S76" s="19">
        <v>1.1859617378361682</v>
      </c>
      <c r="T76" s="46">
        <v>1.1703378199968832</v>
      </c>
      <c r="U76" s="48">
        <v>1.1545567402101755</v>
      </c>
      <c r="V76" s="48">
        <v>1.1376212077536223</v>
      </c>
      <c r="W76" s="48">
        <v>1.1231998146872215</v>
      </c>
      <c r="X76" s="19">
        <v>1.110645353774383</v>
      </c>
      <c r="Y76" s="48">
        <v>1.0995273109715058</v>
      </c>
      <c r="Z76" s="48">
        <v>1.090040662704834</v>
      </c>
      <c r="AA76" s="48">
        <v>1.0824632814211599</v>
      </c>
      <c r="AB76" s="48">
        <v>1.0761543124068478</v>
      </c>
      <c r="AC76" s="48">
        <v>1.0710620242393245</v>
      </c>
      <c r="AD76" s="46">
        <v>1.0670875117944174</v>
      </c>
      <c r="AE76" s="48">
        <v>1.0641905505683664</v>
      </c>
      <c r="AF76" s="48">
        <v>1.0621299560696122</v>
      </c>
      <c r="AG76" s="48">
        <v>1.0605381295429335</v>
      </c>
      <c r="AH76" s="19">
        <v>1.0593171662303651</v>
      </c>
      <c r="AI76" s="48">
        <v>1.058311421473106</v>
      </c>
      <c r="AJ76" s="48">
        <v>1.0574344658328509</v>
      </c>
      <c r="AK76" s="48">
        <v>1.0567255140187939</v>
      </c>
      <c r="AL76" s="48">
        <v>1.0560610187901049</v>
      </c>
      <c r="AM76" s="19">
        <v>1.0555035080970789</v>
      </c>
      <c r="AN76" s="49">
        <v>1.0555035080970789</v>
      </c>
    </row>
    <row r="77" spans="12:40" x14ac:dyDescent="0.35">
      <c r="L77" s="46"/>
      <c r="M77" s="47">
        <v>0.99000000000000066</v>
      </c>
      <c r="N77" s="46">
        <v>1.9655434753171701</v>
      </c>
      <c r="O77" s="46">
        <v>1.6544167274804924</v>
      </c>
      <c r="P77" s="48">
        <v>1.5264793621039905</v>
      </c>
      <c r="Q77" s="48">
        <v>1.4545985828971602</v>
      </c>
      <c r="R77" s="48">
        <v>1.3709447089052751</v>
      </c>
      <c r="S77" s="19">
        <v>1.3222668641057678</v>
      </c>
      <c r="T77" s="46">
        <v>1.2906137697665587</v>
      </c>
      <c r="U77" s="48">
        <v>1.2585273471095433</v>
      </c>
      <c r="V77" s="48">
        <v>1.2237697196539483</v>
      </c>
      <c r="W77" s="48">
        <v>1.1950143379583902</v>
      </c>
      <c r="X77" s="19">
        <v>1.1702115805497779</v>
      </c>
      <c r="Y77" s="48">
        <v>1.1486228992741079</v>
      </c>
      <c r="Z77" s="48">
        <v>1.1305241989319117</v>
      </c>
      <c r="AA77" s="48">
        <v>1.1161682752733668</v>
      </c>
      <c r="AB77" s="48">
        <v>1.1043391478912574</v>
      </c>
      <c r="AC77" s="48">
        <v>1.0948129700529605</v>
      </c>
      <c r="AD77" s="46">
        <v>1.0875736659813426</v>
      </c>
      <c r="AE77" s="48">
        <v>1.0820754368934054</v>
      </c>
      <c r="AF77" s="48">
        <v>1.0781122048729592</v>
      </c>
      <c r="AG77" s="48">
        <v>1.0751229562033289</v>
      </c>
      <c r="AH77" s="19">
        <v>1.0729091181415633</v>
      </c>
      <c r="AI77" s="48">
        <v>1.0710021102204659</v>
      </c>
      <c r="AJ77" s="48">
        <v>1.0694609173533627</v>
      </c>
      <c r="AK77" s="48">
        <v>1.0681358436220014</v>
      </c>
      <c r="AL77" s="48">
        <v>1.066878870988575</v>
      </c>
      <c r="AM77" s="19">
        <v>1.0658427767144945</v>
      </c>
      <c r="AN77" s="49">
        <v>1.0658427767144945</v>
      </c>
    </row>
    <row r="78" spans="12:40" x14ac:dyDescent="0.35">
      <c r="L78" s="50"/>
      <c r="M78" s="51">
        <v>0.999</v>
      </c>
      <c r="N78" s="50">
        <v>2.4516433321384374</v>
      </c>
      <c r="O78" s="50">
        <v>1.9456214856908607</v>
      </c>
      <c r="P78" s="52">
        <v>1.7381031004361616</v>
      </c>
      <c r="Q78" s="52">
        <v>1.6306140145968162</v>
      </c>
      <c r="R78" s="52">
        <v>1.5040930603254412</v>
      </c>
      <c r="S78" s="30">
        <v>1.4336300075019117</v>
      </c>
      <c r="T78" s="50">
        <v>1.3863331136186263</v>
      </c>
      <c r="U78" s="52">
        <v>1.3394097931466789</v>
      </c>
      <c r="V78" s="52">
        <v>1.2919348008290974</v>
      </c>
      <c r="W78" s="52">
        <v>1.2519247278874304</v>
      </c>
      <c r="X78" s="30">
        <v>1.2175682504161629</v>
      </c>
      <c r="Y78" s="52">
        <v>1.1865297590364703</v>
      </c>
      <c r="Z78" s="52">
        <v>1.1614080105288971</v>
      </c>
      <c r="AA78" s="52">
        <v>1.1417306880887701</v>
      </c>
      <c r="AB78" s="52">
        <v>1.1251984652650224</v>
      </c>
      <c r="AC78" s="52">
        <v>1.1123477356618807</v>
      </c>
      <c r="AD78" s="50">
        <v>1.1024944129954803</v>
      </c>
      <c r="AE78" s="52">
        <v>1.0951895387841388</v>
      </c>
      <c r="AF78" s="52">
        <v>1.0901132783430241</v>
      </c>
      <c r="AG78" s="52">
        <v>1.0861908982926527</v>
      </c>
      <c r="AH78" s="30">
        <v>1.0829727623892202</v>
      </c>
      <c r="AI78" s="52">
        <v>1.080511794525306</v>
      </c>
      <c r="AJ78" s="52">
        <v>1.0782620378375767</v>
      </c>
      <c r="AK78" s="52">
        <v>1.076442892609252</v>
      </c>
      <c r="AL78" s="52">
        <v>1.0747419432438776</v>
      </c>
      <c r="AM78" s="30">
        <v>1.0733830898313139</v>
      </c>
      <c r="AN78" s="53">
        <v>1.0733830898313139</v>
      </c>
    </row>
    <row r="79" spans="12:40" x14ac:dyDescent="0.35">
      <c r="L79" s="41"/>
      <c r="M79" s="42">
        <v>1E-3</v>
      </c>
      <c r="N79" s="41">
        <v>0.28045992486224236</v>
      </c>
      <c r="O79" s="41">
        <v>0.41738902111068904</v>
      </c>
      <c r="P79" s="43">
        <v>0.49801622434968607</v>
      </c>
      <c r="Q79" s="43">
        <v>0.5515114386621276</v>
      </c>
      <c r="R79" s="43">
        <v>0.62819818487743817</v>
      </c>
      <c r="S79" s="44">
        <v>0.67675855165494669</v>
      </c>
      <c r="T79" s="41">
        <v>0.71096381367141648</v>
      </c>
      <c r="U79" s="43">
        <v>0.74906841268307967</v>
      </c>
      <c r="V79" s="43">
        <v>0.79355704758219081</v>
      </c>
      <c r="W79" s="43">
        <v>0.83203807415584696</v>
      </c>
      <c r="X79" s="44">
        <v>0.86810194441298794</v>
      </c>
      <c r="Y79" s="43">
        <v>0.90026544349302207</v>
      </c>
      <c r="Z79" s="43">
        <v>0.93040367174684591</v>
      </c>
      <c r="AA79" s="43">
        <v>0.95397585284834774</v>
      </c>
      <c r="AB79" s="43">
        <v>0.97494585966116376</v>
      </c>
      <c r="AC79" s="43">
        <v>0.991262211265871</v>
      </c>
      <c r="AD79" s="41">
        <v>1.0040929953793836</v>
      </c>
      <c r="AE79" s="43">
        <v>1.0143382626650497</v>
      </c>
      <c r="AF79" s="43">
        <v>1.0215083847525848</v>
      </c>
      <c r="AG79" s="43">
        <v>1.0266908295692962</v>
      </c>
      <c r="AH79" s="44">
        <v>1.0311232315021439</v>
      </c>
      <c r="AI79" s="43">
        <v>1.0347010048196799</v>
      </c>
      <c r="AJ79" s="43">
        <v>1.0376420640371005</v>
      </c>
      <c r="AK79" s="43">
        <v>1.0401610539232524</v>
      </c>
      <c r="AL79" s="43">
        <v>1.0425317486934143</v>
      </c>
      <c r="AM79" s="44">
        <v>1.0443453671085112</v>
      </c>
      <c r="AN79" s="45">
        <v>1.0443453671085112</v>
      </c>
    </row>
    <row r="80" spans="12:40" x14ac:dyDescent="0.35">
      <c r="L80" s="46"/>
      <c r="M80" s="47">
        <v>0.01</v>
      </c>
      <c r="N80" s="46">
        <v>0.3823637020816501</v>
      </c>
      <c r="O80" s="46">
        <v>0.52285346326234095</v>
      </c>
      <c r="P80" s="48">
        <v>0.59937767300755085</v>
      </c>
      <c r="Q80" s="48">
        <v>0.65085027880898505</v>
      </c>
      <c r="R80" s="48">
        <v>0.71624733293103016</v>
      </c>
      <c r="S80" s="19">
        <v>0.75834329794111022</v>
      </c>
      <c r="T80" s="46">
        <v>0.78821163468748245</v>
      </c>
      <c r="U80" s="48">
        <v>0.82037688254782604</v>
      </c>
      <c r="V80" s="48">
        <v>0.85651018835077375</v>
      </c>
      <c r="W80" s="48">
        <v>0.88871796013607063</v>
      </c>
      <c r="X80" s="19">
        <v>0.91739254401031411</v>
      </c>
      <c r="Y80" s="48">
        <v>0.9434284411897822</v>
      </c>
      <c r="Z80" s="48">
        <v>0.96671032106030197</v>
      </c>
      <c r="AA80" s="48">
        <v>0.98561762939398267</v>
      </c>
      <c r="AB80" s="48">
        <v>1.0015430970836936</v>
      </c>
      <c r="AC80" s="48">
        <v>1.0144567808842251</v>
      </c>
      <c r="AD80" s="46">
        <v>1.0246517671041637</v>
      </c>
      <c r="AE80" s="48">
        <v>1.0323284106178083</v>
      </c>
      <c r="AF80" s="48">
        <v>1.0378191372714902</v>
      </c>
      <c r="AG80" s="48">
        <v>1.0419018708467087</v>
      </c>
      <c r="AH80" s="19">
        <v>1.0452531310121922</v>
      </c>
      <c r="AI80" s="48">
        <v>1.0479949727338955</v>
      </c>
      <c r="AJ80" s="48">
        <v>1.0501388648814858</v>
      </c>
      <c r="AK80" s="48">
        <v>1.0520782651186169</v>
      </c>
      <c r="AL80" s="48">
        <v>1.0538032550277017</v>
      </c>
      <c r="AM80" s="19">
        <v>1.0553423444796279</v>
      </c>
      <c r="AN80" s="49">
        <v>1.0553423444796279</v>
      </c>
    </row>
    <row r="81" spans="12:40" x14ac:dyDescent="0.35">
      <c r="L81" s="46"/>
      <c r="M81" s="47">
        <v>9.9999999999999992E-2</v>
      </c>
      <c r="N81" s="46">
        <v>0.58851761601223052</v>
      </c>
      <c r="O81" s="46">
        <v>0.71180455610309745</v>
      </c>
      <c r="P81" s="48">
        <v>0.77311317501734611</v>
      </c>
      <c r="Q81" s="48">
        <v>0.81124454175442628</v>
      </c>
      <c r="R81" s="48">
        <v>0.85815062067827674</v>
      </c>
      <c r="S81" s="19">
        <v>0.88702804446984473</v>
      </c>
      <c r="T81" s="46">
        <v>0.9072251720629898</v>
      </c>
      <c r="U81" s="48">
        <v>0.92857038866722841</v>
      </c>
      <c r="V81" s="48">
        <v>0.9519792865566159</v>
      </c>
      <c r="W81" s="48">
        <v>0.97211740397090407</v>
      </c>
      <c r="X81" s="19">
        <v>0.98980192660710764</v>
      </c>
      <c r="Y81" s="48">
        <v>1.005745316447795</v>
      </c>
      <c r="Z81" s="48">
        <v>1.0195812544453773</v>
      </c>
      <c r="AA81" s="48">
        <v>1.0305326974646518</v>
      </c>
      <c r="AB81" s="48">
        <v>1.0397628925057016</v>
      </c>
      <c r="AC81" s="48">
        <v>1.0471558998365589</v>
      </c>
      <c r="AD81" s="46">
        <v>1.0530395788494222</v>
      </c>
      <c r="AE81" s="48">
        <v>1.057485024140115</v>
      </c>
      <c r="AF81" s="48">
        <v>1.0606028996790979</v>
      </c>
      <c r="AG81" s="48">
        <v>1.0629682892800587</v>
      </c>
      <c r="AH81" s="19">
        <v>1.0647838547121302</v>
      </c>
      <c r="AI81" s="48">
        <v>1.0662975555704131</v>
      </c>
      <c r="AJ81" s="48">
        <v>1.0675809356533768</v>
      </c>
      <c r="AK81" s="48">
        <v>1.0686604313535992</v>
      </c>
      <c r="AL81" s="48">
        <v>1.0696326351933609</v>
      </c>
      <c r="AM81" s="19">
        <v>1.0704806087453698</v>
      </c>
      <c r="AN81" s="49">
        <v>1.0704806087453698</v>
      </c>
    </row>
    <row r="82" spans="12:40" x14ac:dyDescent="0.35">
      <c r="L82" s="46"/>
      <c r="M82" s="47">
        <v>0.25000000000000006</v>
      </c>
      <c r="N82" s="46">
        <v>0.7565932352342053</v>
      </c>
      <c r="O82" s="46">
        <v>0.85245509197112967</v>
      </c>
      <c r="P82" s="48">
        <v>0.89630058529681134</v>
      </c>
      <c r="Q82" s="48">
        <v>0.9219896580750081</v>
      </c>
      <c r="R82" s="48">
        <v>0.953616738358121</v>
      </c>
      <c r="S82" s="19">
        <v>0.97217448104864967</v>
      </c>
      <c r="T82" s="46">
        <v>0.98473189456854349</v>
      </c>
      <c r="U82" s="48">
        <v>0.99777416651587436</v>
      </c>
      <c r="V82" s="48">
        <v>1.011989053251352</v>
      </c>
      <c r="W82" s="48">
        <v>1.0239821927586505</v>
      </c>
      <c r="X82" s="19">
        <v>1.0343768694780284</v>
      </c>
      <c r="Y82" s="48">
        <v>1.0434608789150375</v>
      </c>
      <c r="Z82" s="48">
        <v>1.0514238660897266</v>
      </c>
      <c r="AA82" s="48">
        <v>1.0575390654636083</v>
      </c>
      <c r="AB82" s="48">
        <v>1.0626392151285113</v>
      </c>
      <c r="AC82" s="48">
        <v>1.066716213945855</v>
      </c>
      <c r="AD82" s="46">
        <v>1.0699144453007969</v>
      </c>
      <c r="AE82" s="48">
        <v>1.0723569823969232</v>
      </c>
      <c r="AF82" s="48">
        <v>1.0741073288504785</v>
      </c>
      <c r="AG82" s="48">
        <v>1.0753423570775786</v>
      </c>
      <c r="AH82" s="19">
        <v>1.0763744644541962</v>
      </c>
      <c r="AI82" s="48">
        <v>1.077135201185879</v>
      </c>
      <c r="AJ82" s="48">
        <v>1.077822764558521</v>
      </c>
      <c r="AK82" s="48">
        <v>1.0784184182432279</v>
      </c>
      <c r="AL82" s="48">
        <v>1.0789589099023598</v>
      </c>
      <c r="AM82" s="19">
        <v>1.0793978891880425</v>
      </c>
      <c r="AN82" s="49">
        <v>1.0793978891880425</v>
      </c>
    </row>
    <row r="83" spans="12:40" x14ac:dyDescent="0.35">
      <c r="L83" s="46">
        <f>M30</f>
        <v>1.7</v>
      </c>
      <c r="M83" s="47">
        <v>0.50000000000000022</v>
      </c>
      <c r="N83" s="46">
        <v>1.0001088871218373</v>
      </c>
      <c r="O83" s="46">
        <v>1.0415810681935529</v>
      </c>
      <c r="P83" s="48">
        <v>1.0566175647715896</v>
      </c>
      <c r="Q83" s="48">
        <v>1.0643863826105726</v>
      </c>
      <c r="R83" s="48">
        <v>1.0721229777578953</v>
      </c>
      <c r="S83" s="19">
        <v>1.0764283509391306</v>
      </c>
      <c r="T83" s="46">
        <v>1.0789507818285273</v>
      </c>
      <c r="U83" s="48">
        <v>1.0813458698708671</v>
      </c>
      <c r="V83" s="48">
        <v>1.0835707719955316</v>
      </c>
      <c r="W83" s="48">
        <v>1.0853257866257102</v>
      </c>
      <c r="X83" s="19">
        <v>1.0865167920186438</v>
      </c>
      <c r="Y83" s="48">
        <v>1.0874100698381315</v>
      </c>
      <c r="Z83" s="48">
        <v>1.088037450538401</v>
      </c>
      <c r="AA83" s="48">
        <v>1.0884537664815688</v>
      </c>
      <c r="AB83" s="48">
        <v>1.0887181061856683</v>
      </c>
      <c r="AC83" s="48">
        <v>1.0889327599600396</v>
      </c>
      <c r="AD83" s="46">
        <v>1.0890825293328188</v>
      </c>
      <c r="AE83" s="48">
        <v>1.0891967654500494</v>
      </c>
      <c r="AF83" s="48">
        <v>1.0892269684769897</v>
      </c>
      <c r="AG83" s="48">
        <v>1.089295628994619</v>
      </c>
      <c r="AH83" s="19">
        <v>1.0893290946946879</v>
      </c>
      <c r="AI83" s="48">
        <v>1.0893655199212575</v>
      </c>
      <c r="AJ83" s="48">
        <v>1.0893908457557644</v>
      </c>
      <c r="AK83" s="48">
        <v>1.089392477249518</v>
      </c>
      <c r="AL83" s="48">
        <v>1.0894080104629114</v>
      </c>
      <c r="AM83" s="19">
        <v>1.0894193338377816</v>
      </c>
      <c r="AN83" s="49">
        <v>1.0894193338377816</v>
      </c>
    </row>
    <row r="84" spans="12:40" x14ac:dyDescent="0.35">
      <c r="L84" s="46"/>
      <c r="M84" s="47">
        <v>0.75000000000000044</v>
      </c>
      <c r="N84" s="46">
        <v>1.3221753410855583</v>
      </c>
      <c r="O84" s="46">
        <v>1.2733184858369013</v>
      </c>
      <c r="P84" s="48">
        <v>1.246316749811424</v>
      </c>
      <c r="Q84" s="48">
        <v>1.2285778962458083</v>
      </c>
      <c r="R84" s="48">
        <v>1.2066042569867377</v>
      </c>
      <c r="S84" s="19">
        <v>1.1929226312674714</v>
      </c>
      <c r="T84" s="46">
        <v>1.1827533454634458</v>
      </c>
      <c r="U84" s="48">
        <v>1.1721719884829045</v>
      </c>
      <c r="V84" s="48">
        <v>1.160435872442944</v>
      </c>
      <c r="W84" s="48">
        <v>1.1503142779982554</v>
      </c>
      <c r="X84" s="19">
        <v>1.1414260708454174</v>
      </c>
      <c r="Y84" s="48">
        <v>1.1331771015276288</v>
      </c>
      <c r="Z84" s="48">
        <v>1.126124959853716</v>
      </c>
      <c r="AA84" s="48">
        <v>1.1204367405410118</v>
      </c>
      <c r="AB84" s="48">
        <v>1.1155799765343377</v>
      </c>
      <c r="AC84" s="48">
        <v>1.1116765074059451</v>
      </c>
      <c r="AD84" s="46">
        <v>1.1086178512310165</v>
      </c>
      <c r="AE84" s="48">
        <v>1.1063242466160355</v>
      </c>
      <c r="AF84" s="48">
        <v>1.1046708549861348</v>
      </c>
      <c r="AG84" s="48">
        <v>1.1034995343803193</v>
      </c>
      <c r="AH84" s="19">
        <v>1.1025297730010086</v>
      </c>
      <c r="AI84" s="48">
        <v>1.1017511453007809</v>
      </c>
      <c r="AJ84" s="48">
        <v>1.1010532685681882</v>
      </c>
      <c r="AK84" s="48">
        <v>1.100492945522537</v>
      </c>
      <c r="AL84" s="48">
        <v>1.0999579552371714</v>
      </c>
      <c r="AM84" s="19">
        <v>1.0995063924930621</v>
      </c>
      <c r="AN84" s="49">
        <v>1.0995063924930621</v>
      </c>
    </row>
    <row r="85" spans="12:40" x14ac:dyDescent="0.35">
      <c r="L85" s="46"/>
      <c r="M85" s="47">
        <v>0.90000000000000058</v>
      </c>
      <c r="N85" s="46">
        <v>1.7017295239036305</v>
      </c>
      <c r="O85" s="46">
        <v>1.5286316610456727</v>
      </c>
      <c r="P85" s="48">
        <v>1.4484598189437263</v>
      </c>
      <c r="Q85" s="48">
        <v>1.4003243899993481</v>
      </c>
      <c r="R85" s="48">
        <v>1.3428860456241549</v>
      </c>
      <c r="S85" s="19">
        <v>1.3088656826046867</v>
      </c>
      <c r="T85" s="46">
        <v>1.2848116087134858</v>
      </c>
      <c r="U85" s="48">
        <v>1.2607323302416427</v>
      </c>
      <c r="V85" s="48">
        <v>1.2347190596645525</v>
      </c>
      <c r="W85" s="48">
        <v>1.2125364288385954</v>
      </c>
      <c r="X85" s="19">
        <v>1.1932872650052597</v>
      </c>
      <c r="Y85" s="48">
        <v>1.1761030642579349</v>
      </c>
      <c r="Z85" s="48">
        <v>1.16158326678991</v>
      </c>
      <c r="AA85" s="48">
        <v>1.1499993359658696</v>
      </c>
      <c r="AB85" s="48">
        <v>1.1403062719443535</v>
      </c>
      <c r="AC85" s="48">
        <v>1.1325824485353018</v>
      </c>
      <c r="AD85" s="46">
        <v>1.126448041805916</v>
      </c>
      <c r="AE85" s="48">
        <v>1.1219840341754133</v>
      </c>
      <c r="AF85" s="48">
        <v>1.1188538958644223</v>
      </c>
      <c r="AG85" s="48">
        <v>1.1164169906720225</v>
      </c>
      <c r="AH85" s="19">
        <v>1.114562018323678</v>
      </c>
      <c r="AI85" s="48">
        <v>1.1129884280714912</v>
      </c>
      <c r="AJ85" s="48">
        <v>1.1116779191887756</v>
      </c>
      <c r="AK85" s="48">
        <v>1.1105842696581292</v>
      </c>
      <c r="AL85" s="48">
        <v>1.1095699852094578</v>
      </c>
      <c r="AM85" s="19">
        <v>1.1087109076231842</v>
      </c>
      <c r="AN85" s="49">
        <v>1.1087109076231842</v>
      </c>
    </row>
    <row r="86" spans="12:40" x14ac:dyDescent="0.35">
      <c r="L86" s="46"/>
      <c r="M86" s="47">
        <v>0.99000000000000066</v>
      </c>
      <c r="N86" s="46">
        <v>2.6249513840763798</v>
      </c>
      <c r="O86" s="46">
        <v>2.0938530859740929</v>
      </c>
      <c r="P86" s="48">
        <v>1.877732714980028</v>
      </c>
      <c r="Q86" s="48">
        <v>1.7565949262667506</v>
      </c>
      <c r="R86" s="48">
        <v>1.6163692775828182</v>
      </c>
      <c r="S86" s="19">
        <v>1.5365487784595275</v>
      </c>
      <c r="T86" s="46">
        <v>1.484165662684696</v>
      </c>
      <c r="U86" s="48">
        <v>1.4307659052830333</v>
      </c>
      <c r="V86" s="48">
        <v>1.3744040872762417</v>
      </c>
      <c r="W86" s="48">
        <v>1.3282871292733285</v>
      </c>
      <c r="X86" s="19">
        <v>1.2884152911794624</v>
      </c>
      <c r="Y86" s="48">
        <v>1.254310783977048</v>
      </c>
      <c r="Z86" s="48">
        <v>1.2254284111213956</v>
      </c>
      <c r="AA86" s="48">
        <v>1.2028492624563318</v>
      </c>
      <c r="AB86" s="48">
        <v>1.1842028498839618</v>
      </c>
      <c r="AC86" s="48">
        <v>1.1694824790415015</v>
      </c>
      <c r="AD86" s="46">
        <v>1.1581982461192393</v>
      </c>
      <c r="AE86" s="48">
        <v>1.1496735793749904</v>
      </c>
      <c r="AF86" s="48">
        <v>1.1435829960343862</v>
      </c>
      <c r="AG86" s="48">
        <v>1.1389548250720716</v>
      </c>
      <c r="AH86" s="19">
        <v>1.1354945066489233</v>
      </c>
      <c r="AI86" s="48">
        <v>1.1326096044535212</v>
      </c>
      <c r="AJ86" s="48">
        <v>1.1302124192195377</v>
      </c>
      <c r="AK86" s="48">
        <v>1.1281700021595982</v>
      </c>
      <c r="AL86" s="48">
        <v>1.1262471830988865</v>
      </c>
      <c r="AM86" s="19">
        <v>1.1246484129122845</v>
      </c>
      <c r="AN86" s="49">
        <v>1.1246484129122845</v>
      </c>
    </row>
    <row r="87" spans="12:40" x14ac:dyDescent="0.35">
      <c r="L87" s="50"/>
      <c r="M87" s="51">
        <v>0.999</v>
      </c>
      <c r="N87" s="50">
        <v>3.5990030119549834</v>
      </c>
      <c r="O87" s="50">
        <v>2.653871306972222</v>
      </c>
      <c r="P87" s="52">
        <v>2.2723271169497057</v>
      </c>
      <c r="Q87" s="52">
        <v>2.0801325482118651</v>
      </c>
      <c r="R87" s="52">
        <v>1.8540829989539687</v>
      </c>
      <c r="S87" s="30">
        <v>1.733125943274431</v>
      </c>
      <c r="T87" s="50">
        <v>1.6507318681098986</v>
      </c>
      <c r="U87" s="52">
        <v>1.5692773798834982</v>
      </c>
      <c r="V87" s="52">
        <v>1.4885757318942403</v>
      </c>
      <c r="W87" s="52">
        <v>1.4223287189909231</v>
      </c>
      <c r="X87" s="30">
        <v>1.3658956098298456</v>
      </c>
      <c r="Y87" s="52">
        <v>1.3155019144156064</v>
      </c>
      <c r="Z87" s="52">
        <v>1.2754209332658946</v>
      </c>
      <c r="AA87" s="52">
        <v>1.2435220558590496</v>
      </c>
      <c r="AB87" s="52">
        <v>1.2172360672036771</v>
      </c>
      <c r="AC87" s="52">
        <v>1.1969065136546884</v>
      </c>
      <c r="AD87" s="50">
        <v>1.1815049158361273</v>
      </c>
      <c r="AE87" s="52">
        <v>1.1702854589400167</v>
      </c>
      <c r="AF87" s="52">
        <v>1.1622075931024287</v>
      </c>
      <c r="AG87" s="52">
        <v>1.1563077380705991</v>
      </c>
      <c r="AH87" s="30">
        <v>1.1512160571756029</v>
      </c>
      <c r="AI87" s="52">
        <v>1.1473582589784086</v>
      </c>
      <c r="AJ87" s="52">
        <v>1.1439459682641659</v>
      </c>
      <c r="AK87" s="52">
        <v>1.1410291127364847</v>
      </c>
      <c r="AL87" s="52">
        <v>1.1384695633509114</v>
      </c>
      <c r="AM87" s="30">
        <v>1.1363898612797949</v>
      </c>
      <c r="AN87" s="53">
        <v>1.1363898612797949</v>
      </c>
    </row>
    <row r="88" spans="12:40" x14ac:dyDescent="0.35">
      <c r="L88" s="41"/>
      <c r="M88" s="42">
        <v>1E-3</v>
      </c>
      <c r="N88" s="41">
        <v>0.1690439076721216</v>
      </c>
      <c r="O88" s="41">
        <v>0.29792382420554619</v>
      </c>
      <c r="P88" s="43">
        <v>0.3838787233743311</v>
      </c>
      <c r="Q88" s="43">
        <v>0.44334026552424566</v>
      </c>
      <c r="R88" s="43">
        <v>0.53526331301765695</v>
      </c>
      <c r="S88" s="44">
        <v>0.59454352841681246</v>
      </c>
      <c r="T88" s="41">
        <v>0.63830534601125688</v>
      </c>
      <c r="U88" s="43">
        <v>0.68783341851855218</v>
      </c>
      <c r="V88" s="43">
        <v>0.74735949487621989</v>
      </c>
      <c r="W88" s="43">
        <v>0.80043534709590258</v>
      </c>
      <c r="X88" s="44">
        <v>0.85075150661001619</v>
      </c>
      <c r="Y88" s="43">
        <v>0.8968946211973513</v>
      </c>
      <c r="Z88" s="43">
        <v>0.94045388561500265</v>
      </c>
      <c r="AA88" s="43">
        <v>0.97553612760956021</v>
      </c>
      <c r="AB88" s="43">
        <v>1.0057727751313275</v>
      </c>
      <c r="AC88" s="43">
        <v>1.0305969606272085</v>
      </c>
      <c r="AD88" s="41">
        <v>1.0502403179067055</v>
      </c>
      <c r="AE88" s="43">
        <v>1.0657168022661199</v>
      </c>
      <c r="AF88" s="43">
        <v>1.076488177920317</v>
      </c>
      <c r="AG88" s="43">
        <v>1.0846662546667916</v>
      </c>
      <c r="AH88" s="44">
        <v>1.0911793054865095</v>
      </c>
      <c r="AI88" s="43">
        <v>1.0968684647164599</v>
      </c>
      <c r="AJ88" s="43">
        <v>1.1012430269026467</v>
      </c>
      <c r="AK88" s="43">
        <v>1.1053146113171257</v>
      </c>
      <c r="AL88" s="43">
        <v>1.1088618612308057</v>
      </c>
      <c r="AM88" s="44">
        <v>1.1117474296027465</v>
      </c>
      <c r="AN88" s="45">
        <v>1.1117474296027465</v>
      </c>
    </row>
    <row r="89" spans="12:40" x14ac:dyDescent="0.35">
      <c r="L89" s="46"/>
      <c r="M89" s="47">
        <v>0.01</v>
      </c>
      <c r="N89" s="46">
        <v>0.26074061989405145</v>
      </c>
      <c r="O89" s="46">
        <v>0.40884410820742034</v>
      </c>
      <c r="P89" s="48">
        <v>0.49753660692433072</v>
      </c>
      <c r="Q89" s="48">
        <v>0.56007931891018836</v>
      </c>
      <c r="R89" s="48">
        <v>0.64343455464739596</v>
      </c>
      <c r="S89" s="19">
        <v>0.69871149091017593</v>
      </c>
      <c r="T89" s="46">
        <v>0.7389722544280235</v>
      </c>
      <c r="U89" s="48">
        <v>0.78323547371973234</v>
      </c>
      <c r="V89" s="48">
        <v>0.83310750472063932</v>
      </c>
      <c r="W89" s="48">
        <v>0.879348336623055</v>
      </c>
      <c r="X89" s="19">
        <v>0.92058366273436909</v>
      </c>
      <c r="Y89" s="48">
        <v>0.95878697407556501</v>
      </c>
      <c r="Z89" s="48">
        <v>0.99355909367955086</v>
      </c>
      <c r="AA89" s="48">
        <v>1.0218253882995436</v>
      </c>
      <c r="AB89" s="48">
        <v>1.0460463600049512</v>
      </c>
      <c r="AC89" s="48">
        <v>1.0656288240052934</v>
      </c>
      <c r="AD89" s="46">
        <v>1.0811585395808729</v>
      </c>
      <c r="AE89" s="48">
        <v>1.0931035462801935</v>
      </c>
      <c r="AF89" s="48">
        <v>1.1014379646213723</v>
      </c>
      <c r="AG89" s="48">
        <v>1.1079295618007883</v>
      </c>
      <c r="AH89" s="19">
        <v>1.1130655232755509</v>
      </c>
      <c r="AI89" s="48">
        <v>1.1172640018465656</v>
      </c>
      <c r="AJ89" s="48">
        <v>1.1206851975727199</v>
      </c>
      <c r="AK89" s="48">
        <v>1.1236661113038486</v>
      </c>
      <c r="AL89" s="48">
        <v>1.1263576589315396</v>
      </c>
      <c r="AM89" s="19">
        <v>1.1288116748319588</v>
      </c>
      <c r="AN89" s="49">
        <v>1.1288116748319588</v>
      </c>
    </row>
    <row r="90" spans="12:40" x14ac:dyDescent="0.35">
      <c r="L90" s="46"/>
      <c r="M90" s="47">
        <v>9.9999999999999992E-2</v>
      </c>
      <c r="N90" s="46">
        <v>0.47651006572283122</v>
      </c>
      <c r="O90" s="46">
        <v>0.63092061704876212</v>
      </c>
      <c r="P90" s="48">
        <v>0.71266061236397982</v>
      </c>
      <c r="Q90" s="48">
        <v>0.76519412451696811</v>
      </c>
      <c r="R90" s="48">
        <v>0.83176626624957906</v>
      </c>
      <c r="S90" s="19">
        <v>0.87343631946955702</v>
      </c>
      <c r="T90" s="46">
        <v>0.90303713039314792</v>
      </c>
      <c r="U90" s="48">
        <v>0.93442166460899145</v>
      </c>
      <c r="V90" s="48">
        <v>0.96950512968261637</v>
      </c>
      <c r="W90" s="48">
        <v>0.99994836789249675</v>
      </c>
      <c r="X90" s="19">
        <v>1.0268738361128953</v>
      </c>
      <c r="Y90" s="48">
        <v>1.0514234392898156</v>
      </c>
      <c r="Z90" s="48">
        <v>1.0726856521091652</v>
      </c>
      <c r="AA90" s="48">
        <v>1.0897428703304719</v>
      </c>
      <c r="AB90" s="48">
        <v>1.1041454003734041</v>
      </c>
      <c r="AC90" s="48">
        <v>1.1157872637870467</v>
      </c>
      <c r="AD90" s="46">
        <v>1.1249615202802112</v>
      </c>
      <c r="AE90" s="48">
        <v>1.1319115905305255</v>
      </c>
      <c r="AF90" s="48">
        <v>1.136872326225794</v>
      </c>
      <c r="AG90" s="48">
        <v>1.1405302000809725</v>
      </c>
      <c r="AH90" s="19">
        <v>1.1434283728284735</v>
      </c>
      <c r="AI90" s="48">
        <v>1.1458083687584832</v>
      </c>
      <c r="AJ90" s="48">
        <v>1.1478425161539179</v>
      </c>
      <c r="AK90" s="48">
        <v>1.1495261368021878</v>
      </c>
      <c r="AL90" s="48">
        <v>1.1510439882270169</v>
      </c>
      <c r="AM90" s="19">
        <v>1.1524077382521782</v>
      </c>
      <c r="AN90" s="49">
        <v>1.1524077382521782</v>
      </c>
    </row>
    <row r="91" spans="12:40" x14ac:dyDescent="0.35">
      <c r="L91" s="46"/>
      <c r="M91" s="47">
        <v>0.25000000000000006</v>
      </c>
      <c r="N91" s="46">
        <v>0.67705279083238978</v>
      </c>
      <c r="O91" s="46">
        <v>0.81314641670081933</v>
      </c>
      <c r="P91" s="48">
        <v>0.87852874780149603</v>
      </c>
      <c r="Q91" s="48">
        <v>0.91747946559039895</v>
      </c>
      <c r="R91" s="48">
        <v>0.96637413280610707</v>
      </c>
      <c r="S91" s="19">
        <v>0.99546955988729668</v>
      </c>
      <c r="T91" s="46">
        <v>1.0152462776094595</v>
      </c>
      <c r="U91" s="48">
        <v>1.0360318328313267</v>
      </c>
      <c r="V91" s="48">
        <v>1.0584379994493165</v>
      </c>
      <c r="W91" s="48">
        <v>1.0778529070010894</v>
      </c>
      <c r="X91" s="19">
        <v>1.094301750074248</v>
      </c>
      <c r="Y91" s="48">
        <v>1.1089559791301573</v>
      </c>
      <c r="Z91" s="48">
        <v>1.1216992620129271</v>
      </c>
      <c r="AA91" s="48">
        <v>1.1315351885439227</v>
      </c>
      <c r="AB91" s="48">
        <v>1.1396243844324683</v>
      </c>
      <c r="AC91" s="48">
        <v>1.1461377309798644</v>
      </c>
      <c r="AD91" s="46">
        <v>1.1512483713238082</v>
      </c>
      <c r="AE91" s="48">
        <v>1.1551493788520482</v>
      </c>
      <c r="AF91" s="48">
        <v>1.1579138404051794</v>
      </c>
      <c r="AG91" s="48">
        <v>1.1599451386459079</v>
      </c>
      <c r="AH91" s="19">
        <v>1.161573908193692</v>
      </c>
      <c r="AI91" s="48">
        <v>1.1628193571294592</v>
      </c>
      <c r="AJ91" s="48">
        <v>1.1639030268339723</v>
      </c>
      <c r="AK91" s="48">
        <v>1.1648522210047896</v>
      </c>
      <c r="AL91" s="48">
        <v>1.1656943008170082</v>
      </c>
      <c r="AM91" s="19">
        <v>1.1664070597934757</v>
      </c>
      <c r="AN91" s="49">
        <v>1.1664070597934757</v>
      </c>
    </row>
    <row r="92" spans="12:40" x14ac:dyDescent="0.35">
      <c r="L92" s="46">
        <f>M31</f>
        <v>2.1</v>
      </c>
      <c r="M92" s="47">
        <v>0.50000000000000022</v>
      </c>
      <c r="N92" s="46">
        <v>1.0001522519268597</v>
      </c>
      <c r="O92" s="46">
        <v>1.0791213660566581</v>
      </c>
      <c r="P92" s="48">
        <v>1.1096262717280456</v>
      </c>
      <c r="Q92" s="48">
        <v>1.1257962434863742</v>
      </c>
      <c r="R92" s="48">
        <v>1.142829588651028</v>
      </c>
      <c r="S92" s="19">
        <v>1.1521934866560577</v>
      </c>
      <c r="T92" s="46">
        <v>1.1578848561570034</v>
      </c>
      <c r="U92" s="48">
        <v>1.1632700409890098</v>
      </c>
      <c r="V92" s="48">
        <v>1.1684131668065656</v>
      </c>
      <c r="W92" s="48">
        <v>1.1724314465232197</v>
      </c>
      <c r="X92" s="19">
        <v>1.1751682972984574</v>
      </c>
      <c r="Y92" s="48">
        <v>1.177318035224427</v>
      </c>
      <c r="Z92" s="48">
        <v>1.1789002472180143</v>
      </c>
      <c r="AA92" s="48">
        <v>1.1799474449890432</v>
      </c>
      <c r="AB92" s="48">
        <v>1.1805622811244927</v>
      </c>
      <c r="AC92" s="48">
        <v>1.1810849205271281</v>
      </c>
      <c r="AD92" s="46">
        <v>1.1814816466100928</v>
      </c>
      <c r="AE92" s="48">
        <v>1.181705049654318</v>
      </c>
      <c r="AF92" s="48">
        <v>1.1818288641622732</v>
      </c>
      <c r="AG92" s="48">
        <v>1.1819547093035658</v>
      </c>
      <c r="AH92" s="19">
        <v>1.1820438666812925</v>
      </c>
      <c r="AI92" s="48">
        <v>1.1820747796570459</v>
      </c>
      <c r="AJ92" s="48">
        <v>1.1821552373870667</v>
      </c>
      <c r="AK92" s="48">
        <v>1.1821517109459836</v>
      </c>
      <c r="AL92" s="48">
        <v>1.1821880239656029</v>
      </c>
      <c r="AM92" s="19">
        <v>1.1822161062596397</v>
      </c>
      <c r="AN92" s="49">
        <v>1.1822161062596397</v>
      </c>
    </row>
    <row r="93" spans="12:40" x14ac:dyDescent="0.35">
      <c r="L93" s="46"/>
      <c r="M93" s="47">
        <v>0.75000000000000044</v>
      </c>
      <c r="N93" s="46">
        <v>1.4777103267074776</v>
      </c>
      <c r="O93" s="46">
        <v>1.4349473513701034</v>
      </c>
      <c r="P93" s="48">
        <v>1.4045322649963741</v>
      </c>
      <c r="Q93" s="48">
        <v>1.3831511020527583</v>
      </c>
      <c r="R93" s="48">
        <v>1.3546994264238645</v>
      </c>
      <c r="S93" s="19">
        <v>1.3363506296110312</v>
      </c>
      <c r="T93" s="46">
        <v>1.3225374088384636</v>
      </c>
      <c r="U93" s="48">
        <v>1.3073853318457114</v>
      </c>
      <c r="V93" s="48">
        <v>1.2905153649125156</v>
      </c>
      <c r="W93" s="48">
        <v>1.2758834089320243</v>
      </c>
      <c r="X93" s="19">
        <v>1.2626323278477374</v>
      </c>
      <c r="Y93" s="48">
        <v>1.2503481274555703</v>
      </c>
      <c r="Z93" s="48">
        <v>1.2394975846045428</v>
      </c>
      <c r="AA93" s="48">
        <v>1.2308500699059086</v>
      </c>
      <c r="AB93" s="48">
        <v>1.2233278608682121</v>
      </c>
      <c r="AC93" s="48">
        <v>1.2172632269125865</v>
      </c>
      <c r="AD93" s="46">
        <v>1.2125197424889813</v>
      </c>
      <c r="AE93" s="48">
        <v>1.2088951064093667</v>
      </c>
      <c r="AF93" s="48">
        <v>1.2063584816698387</v>
      </c>
      <c r="AG93" s="48">
        <v>1.2045061994880766</v>
      </c>
      <c r="AH93" s="19">
        <v>1.2029927862136454</v>
      </c>
      <c r="AI93" s="48">
        <v>1.201745591798637</v>
      </c>
      <c r="AJ93" s="48">
        <v>1.2006877895350452</v>
      </c>
      <c r="AK93" s="48">
        <v>1.1997970893572965</v>
      </c>
      <c r="AL93" s="48">
        <v>1.198942886586476</v>
      </c>
      <c r="AM93" s="19">
        <v>1.1982456054308415</v>
      </c>
      <c r="AN93" s="49">
        <v>1.1982456054308415</v>
      </c>
    </row>
    <row r="94" spans="12:40" x14ac:dyDescent="0.35">
      <c r="L94" s="46"/>
      <c r="M94" s="47">
        <v>0.90000000000000058</v>
      </c>
      <c r="N94" s="46">
        <v>2.1029878703827576</v>
      </c>
      <c r="O94" s="46">
        <v>1.8600071467573878</v>
      </c>
      <c r="P94" s="48">
        <v>1.7427305792894792</v>
      </c>
      <c r="Q94" s="48">
        <v>1.6700762749899656</v>
      </c>
      <c r="R94" s="48">
        <v>1.5822604163433114</v>
      </c>
      <c r="S94" s="19">
        <v>1.5297497829154867</v>
      </c>
      <c r="T94" s="46">
        <v>1.4921422746155002</v>
      </c>
      <c r="U94" s="48">
        <v>1.4538465107296425</v>
      </c>
      <c r="V94" s="48">
        <v>1.4130734400548199</v>
      </c>
      <c r="W94" s="48">
        <v>1.3782366011418254</v>
      </c>
      <c r="X94" s="19">
        <v>1.3476189343812461</v>
      </c>
      <c r="Y94" s="48">
        <v>1.3202747758901809</v>
      </c>
      <c r="Z94" s="48">
        <v>1.297214113533343</v>
      </c>
      <c r="AA94" s="48">
        <v>1.2785892210543479</v>
      </c>
      <c r="AB94" s="48">
        <v>1.2631514652181492</v>
      </c>
      <c r="AC94" s="48">
        <v>1.2509131758463283</v>
      </c>
      <c r="AD94" s="46">
        <v>1.2412229719676924</v>
      </c>
      <c r="AE94" s="48">
        <v>1.2340198128583573</v>
      </c>
      <c r="AF94" s="48">
        <v>1.2290616514994352</v>
      </c>
      <c r="AG94" s="48">
        <v>1.2251707942028869</v>
      </c>
      <c r="AH94" s="19">
        <v>1.2222247990377315</v>
      </c>
      <c r="AI94" s="48">
        <v>1.2197332069765956</v>
      </c>
      <c r="AJ94" s="48">
        <v>1.2176410933186559</v>
      </c>
      <c r="AK94" s="48">
        <v>1.2159060302161566</v>
      </c>
      <c r="AL94" s="48">
        <v>1.2142983707123765</v>
      </c>
      <c r="AM94" s="19">
        <v>1.2129411993378449</v>
      </c>
      <c r="AN94" s="49">
        <v>1.2129411993378449</v>
      </c>
    </row>
    <row r="95" spans="12:40" x14ac:dyDescent="0.35">
      <c r="L95" s="46"/>
      <c r="M95" s="47">
        <v>0.99000000000000066</v>
      </c>
      <c r="N95" s="46">
        <v>3.8550104536218379</v>
      </c>
      <c r="O95" s="46">
        <v>2.9245752216696852</v>
      </c>
      <c r="P95" s="48">
        <v>2.5427672839208704</v>
      </c>
      <c r="Q95" s="48">
        <v>2.3287042660821755</v>
      </c>
      <c r="R95" s="48">
        <v>2.0801630793922667</v>
      </c>
      <c r="S95" s="19">
        <v>1.9390352205514978</v>
      </c>
      <c r="T95" s="46">
        <v>1.8476860871871401</v>
      </c>
      <c r="U95" s="48">
        <v>1.7545156512152962</v>
      </c>
      <c r="V95" s="48">
        <v>1.657675398792205</v>
      </c>
      <c r="W95" s="48">
        <v>1.5777806669734002</v>
      </c>
      <c r="X95" s="19">
        <v>1.5105081473481154</v>
      </c>
      <c r="Y95" s="48">
        <v>1.4520860344244688</v>
      </c>
      <c r="Z95" s="48">
        <v>1.4039280757056478</v>
      </c>
      <c r="AA95" s="48">
        <v>1.3663558810430847</v>
      </c>
      <c r="AB95" s="48">
        <v>1.3354061630970036</v>
      </c>
      <c r="AC95" s="48">
        <v>1.3112094120822326</v>
      </c>
      <c r="AD95" s="46">
        <v>1.2928551678838833</v>
      </c>
      <c r="AE95" s="48">
        <v>1.2788763571315152</v>
      </c>
      <c r="AF95" s="48">
        <v>1.2690347906514168</v>
      </c>
      <c r="AG95" s="48">
        <v>1.2617293245317116</v>
      </c>
      <c r="AH95" s="19">
        <v>1.2560514728572514</v>
      </c>
      <c r="AI95" s="48">
        <v>1.2513685862850337</v>
      </c>
      <c r="AJ95" s="48">
        <v>1.247503143779223</v>
      </c>
      <c r="AK95" s="48">
        <v>1.2441084829473652</v>
      </c>
      <c r="AL95" s="48">
        <v>1.2411570283871709</v>
      </c>
      <c r="AM95" s="19">
        <v>1.2385368344364838</v>
      </c>
      <c r="AN95" s="49">
        <v>1.2385368344364838</v>
      </c>
    </row>
    <row r="96" spans="12:40" x14ac:dyDescent="0.35">
      <c r="L96" s="50"/>
      <c r="M96" s="51">
        <v>0.999</v>
      </c>
      <c r="N96" s="50">
        <v>5.9933206370293712</v>
      </c>
      <c r="O96" s="50">
        <v>4.1310873364171083</v>
      </c>
      <c r="P96" s="52">
        <v>3.3857140962315482</v>
      </c>
      <c r="Q96" s="52">
        <v>2.9992330483874894</v>
      </c>
      <c r="R96" s="52">
        <v>2.5588072345838397</v>
      </c>
      <c r="S96" s="30">
        <v>2.3287557534395762</v>
      </c>
      <c r="T96" s="50">
        <v>2.1781170181486194</v>
      </c>
      <c r="U96" s="52">
        <v>2.0214065427202481</v>
      </c>
      <c r="V96" s="52">
        <v>1.8702594657667022</v>
      </c>
      <c r="W96" s="52">
        <v>1.7472587740236383</v>
      </c>
      <c r="X96" s="30">
        <v>1.6467359507511021</v>
      </c>
      <c r="Y96" s="52">
        <v>1.5594531750445977</v>
      </c>
      <c r="Z96" s="52">
        <v>1.4894455178741501</v>
      </c>
      <c r="AA96" s="52">
        <v>1.4350442555287093</v>
      </c>
      <c r="AB96" s="52">
        <v>1.3906713577367522</v>
      </c>
      <c r="AC96" s="52">
        <v>1.3565075440037535</v>
      </c>
      <c r="AD96" s="50">
        <v>1.3313567387215675</v>
      </c>
      <c r="AE96" s="52">
        <v>1.3129533262041997</v>
      </c>
      <c r="AF96" s="52">
        <v>1.299594961428441</v>
      </c>
      <c r="AG96" s="52">
        <v>1.2897708799116503</v>
      </c>
      <c r="AH96" s="30">
        <v>1.2817959975364892</v>
      </c>
      <c r="AI96" s="52">
        <v>1.2751896262895248</v>
      </c>
      <c r="AJ96" s="52">
        <v>1.2698820321809889</v>
      </c>
      <c r="AK96" s="52">
        <v>1.2651499780523314</v>
      </c>
      <c r="AL96" s="52">
        <v>1.26105625321248</v>
      </c>
      <c r="AM96" s="30">
        <v>1.2574773950908689</v>
      </c>
      <c r="AN96" s="53">
        <v>1.2574773950908689</v>
      </c>
    </row>
    <row r="97" spans="12:40" x14ac:dyDescent="0.35">
      <c r="L97" s="41"/>
      <c r="M97" s="42">
        <v>1E-3</v>
      </c>
      <c r="N97" s="41">
        <v>9.2576741801870283E-2</v>
      </c>
      <c r="O97" s="41">
        <v>0.20070159091027612</v>
      </c>
      <c r="P97" s="43">
        <v>0.28296691202003438</v>
      </c>
      <c r="Q97" s="43">
        <v>0.34569166690129782</v>
      </c>
      <c r="R97" s="43">
        <v>0.44767595654646869</v>
      </c>
      <c r="S97" s="44">
        <v>0.51673613934058582</v>
      </c>
      <c r="T97" s="41">
        <v>0.56991541264585432</v>
      </c>
      <c r="U97" s="43">
        <v>0.63163948521958613</v>
      </c>
      <c r="V97" s="43">
        <v>0.70877801111837513</v>
      </c>
      <c r="W97" s="43">
        <v>0.77987282991932794</v>
      </c>
      <c r="X97" s="44">
        <v>0.84878600267888193</v>
      </c>
      <c r="Y97" s="43">
        <v>0.91386159183931115</v>
      </c>
      <c r="Z97" s="43">
        <v>0.97599488821324132</v>
      </c>
      <c r="AA97" s="43">
        <v>1.0274038450192728</v>
      </c>
      <c r="AB97" s="43">
        <v>1.0732049458751012</v>
      </c>
      <c r="AC97" s="43">
        <v>1.1103482795688779</v>
      </c>
      <c r="AD97" s="41">
        <v>1.1401854096069464</v>
      </c>
      <c r="AE97" s="43">
        <v>1.1640409385311568</v>
      </c>
      <c r="AF97" s="43">
        <v>1.180941687622159</v>
      </c>
      <c r="AG97" s="43">
        <v>1.1936317759745336</v>
      </c>
      <c r="AH97" s="44">
        <v>1.2042526638438731</v>
      </c>
      <c r="AI97" s="43">
        <v>1.2133912376664318</v>
      </c>
      <c r="AJ97" s="43">
        <v>1.2198433947523419</v>
      </c>
      <c r="AK97" s="43">
        <v>1.226027647658229</v>
      </c>
      <c r="AL97" s="43">
        <v>1.2317366107423748</v>
      </c>
      <c r="AM97" s="44">
        <v>1.2362780666592825</v>
      </c>
      <c r="AN97" s="45">
        <v>1.2362780666592825</v>
      </c>
    </row>
    <row r="98" spans="12:40" x14ac:dyDescent="0.35">
      <c r="L98" s="46"/>
      <c r="M98" s="47">
        <v>0.01</v>
      </c>
      <c r="N98" s="46">
        <v>0.16537225365164515</v>
      </c>
      <c r="O98" s="46">
        <v>0.30685431033616145</v>
      </c>
      <c r="P98" s="48">
        <v>0.40220055843468749</v>
      </c>
      <c r="Q98" s="48">
        <v>0.47391397042982414</v>
      </c>
      <c r="R98" s="48">
        <v>0.57449394337508775</v>
      </c>
      <c r="S98" s="19">
        <v>0.64345573000153089</v>
      </c>
      <c r="T98" s="46">
        <v>0.69616038220978016</v>
      </c>
      <c r="U98" s="48">
        <v>0.75482618553622538</v>
      </c>
      <c r="V98" s="48">
        <v>0.82281247884319486</v>
      </c>
      <c r="W98" s="48">
        <v>0.88736659090997394</v>
      </c>
      <c r="X98" s="19">
        <v>0.94643117208735028</v>
      </c>
      <c r="Y98" s="48">
        <v>1.0022599805581758</v>
      </c>
      <c r="Z98" s="48">
        <v>1.0538152683314777</v>
      </c>
      <c r="AA98" s="48">
        <v>1.0963786693525102</v>
      </c>
      <c r="AB98" s="48">
        <v>1.1336988459878881</v>
      </c>
      <c r="AC98" s="48">
        <v>1.1636345696971575</v>
      </c>
      <c r="AD98" s="46">
        <v>1.1881554484584551</v>
      </c>
      <c r="AE98" s="48">
        <v>1.2068394746325128</v>
      </c>
      <c r="AF98" s="48">
        <v>1.2201133358299669</v>
      </c>
      <c r="AG98" s="48">
        <v>1.2302019234289705</v>
      </c>
      <c r="AH98" s="19">
        <v>1.2383186710381184</v>
      </c>
      <c r="AI98" s="48">
        <v>1.2448800083127622</v>
      </c>
      <c r="AJ98" s="48">
        <v>1.2504080160120905</v>
      </c>
      <c r="AK98" s="48">
        <v>1.2552334287099032</v>
      </c>
      <c r="AL98" s="48">
        <v>1.2594604178877984</v>
      </c>
      <c r="AM98" s="19">
        <v>1.2634170923192058</v>
      </c>
      <c r="AN98" s="49">
        <v>1.2634170923192058</v>
      </c>
    </row>
    <row r="99" spans="12:40" x14ac:dyDescent="0.35">
      <c r="L99" s="46"/>
      <c r="M99" s="47">
        <v>9.9999999999999992E-2</v>
      </c>
      <c r="N99" s="46">
        <v>0.37070317514560902</v>
      </c>
      <c r="O99" s="46">
        <v>0.55047543614497296</v>
      </c>
      <c r="P99" s="48">
        <v>0.65407684760052387</v>
      </c>
      <c r="Q99" s="48">
        <v>0.72384039504407871</v>
      </c>
      <c r="R99" s="48">
        <v>0.81508956906415664</v>
      </c>
      <c r="S99" s="19">
        <v>0.87361335099115944</v>
      </c>
      <c r="T99" s="46">
        <v>0.91631731969540253</v>
      </c>
      <c r="U99" s="48">
        <v>0.9622393766997086</v>
      </c>
      <c r="V99" s="48">
        <v>1.0142632083851579</v>
      </c>
      <c r="W99" s="48">
        <v>1.06049513544365</v>
      </c>
      <c r="X99" s="19">
        <v>1.1018203792368999</v>
      </c>
      <c r="Y99" s="48">
        <v>1.1401158636932947</v>
      </c>
      <c r="Z99" s="48">
        <v>1.1732169468237692</v>
      </c>
      <c r="AA99" s="48">
        <v>1.2003781532434814</v>
      </c>
      <c r="AB99" s="48">
        <v>1.2234249451305999</v>
      </c>
      <c r="AC99" s="48">
        <v>1.2419757011207488</v>
      </c>
      <c r="AD99" s="46">
        <v>1.2566936980475016</v>
      </c>
      <c r="AE99" s="48">
        <v>1.267876445009529</v>
      </c>
      <c r="AF99" s="48">
        <v>1.2759095812904808</v>
      </c>
      <c r="AG99" s="48">
        <v>1.2818033155948727</v>
      </c>
      <c r="AH99" s="19">
        <v>1.2865908800007295</v>
      </c>
      <c r="AI99" s="48">
        <v>1.2904945153194969</v>
      </c>
      <c r="AJ99" s="48">
        <v>1.2937448030765708</v>
      </c>
      <c r="AK99" s="48">
        <v>1.2965140050670556</v>
      </c>
      <c r="AL99" s="48">
        <v>1.2989659013637818</v>
      </c>
      <c r="AM99" s="19">
        <v>1.3012098156103991</v>
      </c>
      <c r="AN99" s="49">
        <v>1.3012098156103991</v>
      </c>
    </row>
    <row r="100" spans="12:40" x14ac:dyDescent="0.35">
      <c r="L100" s="46"/>
      <c r="M100" s="47">
        <v>0.25000000000000006</v>
      </c>
      <c r="N100" s="46">
        <v>0.59326641241902545</v>
      </c>
      <c r="O100" s="46">
        <v>0.77527270457818287</v>
      </c>
      <c r="P100" s="48">
        <v>0.86893105889552591</v>
      </c>
      <c r="Q100" s="48">
        <v>0.92700920759114824</v>
      </c>
      <c r="R100" s="48">
        <v>1.0009497361894342</v>
      </c>
      <c r="S100" s="19">
        <v>1.0460208372190429</v>
      </c>
      <c r="T100" s="46">
        <v>1.0771608246895839</v>
      </c>
      <c r="U100" s="48">
        <v>1.1101849807841062</v>
      </c>
      <c r="V100" s="48">
        <v>1.1462441795495795</v>
      </c>
      <c r="W100" s="48">
        <v>1.1775029350347839</v>
      </c>
      <c r="X100" s="19">
        <v>1.2044541106715769</v>
      </c>
      <c r="Y100" s="48">
        <v>1.228805439040455</v>
      </c>
      <c r="Z100" s="48">
        <v>1.2496993031261543</v>
      </c>
      <c r="AA100" s="48">
        <v>1.2661017820385747</v>
      </c>
      <c r="AB100" s="48">
        <v>1.2794424271195064</v>
      </c>
      <c r="AC100" s="48">
        <v>1.2903026258301773</v>
      </c>
      <c r="AD100" s="46">
        <v>1.298770336497193</v>
      </c>
      <c r="AE100" s="48">
        <v>1.3052353769639158</v>
      </c>
      <c r="AF100" s="48">
        <v>1.3097672536734875</v>
      </c>
      <c r="AG100" s="48">
        <v>1.3131870784824118</v>
      </c>
      <c r="AH100" s="19">
        <v>1.3158520907691713</v>
      </c>
      <c r="AI100" s="48">
        <v>1.3179341708013017</v>
      </c>
      <c r="AJ100" s="48">
        <v>1.3197194125138989</v>
      </c>
      <c r="AK100" s="48">
        <v>1.3212958881930876</v>
      </c>
      <c r="AL100" s="48">
        <v>1.3226504925404556</v>
      </c>
      <c r="AM100" s="19">
        <v>1.323887386161732</v>
      </c>
      <c r="AN100" s="49">
        <v>1.323887386161732</v>
      </c>
    </row>
    <row r="101" spans="12:40" x14ac:dyDescent="0.35">
      <c r="L101" s="46">
        <f>M32</f>
        <v>2.7</v>
      </c>
      <c r="M101" s="47">
        <v>0.50000000000000022</v>
      </c>
      <c r="N101" s="46">
        <v>1.000203829065873</v>
      </c>
      <c r="O101" s="46">
        <v>1.1371574378978564</v>
      </c>
      <c r="P101" s="48">
        <v>1.1951175270443752</v>
      </c>
      <c r="Q101" s="48">
        <v>1.2264482005290804</v>
      </c>
      <c r="R101" s="48">
        <v>1.2612929677561517</v>
      </c>
      <c r="S101" s="19">
        <v>1.2808753352196103</v>
      </c>
      <c r="T101" s="46">
        <v>1.2931488848082244</v>
      </c>
      <c r="U101" s="48">
        <v>1.3049804336388289</v>
      </c>
      <c r="V101" s="48">
        <v>1.3165454280656248</v>
      </c>
      <c r="W101" s="48">
        <v>1.3257207639485331</v>
      </c>
      <c r="X101" s="19">
        <v>1.3322133146838362</v>
      </c>
      <c r="Y101" s="48">
        <v>1.3373309733736616</v>
      </c>
      <c r="Z101" s="48">
        <v>1.3412746514259655</v>
      </c>
      <c r="AA101" s="48">
        <v>1.3438124944576944</v>
      </c>
      <c r="AB101" s="48">
        <v>1.3455948960117379</v>
      </c>
      <c r="AC101" s="48">
        <v>1.3468756143549259</v>
      </c>
      <c r="AD101" s="46">
        <v>1.3478057057768922</v>
      </c>
      <c r="AE101" s="48">
        <v>1.3484126470372479</v>
      </c>
      <c r="AF101" s="48">
        <v>1.3486977030767437</v>
      </c>
      <c r="AG101" s="48">
        <v>1.3490158869133821</v>
      </c>
      <c r="AH101" s="19">
        <v>1.349213380176745</v>
      </c>
      <c r="AI101" s="48">
        <v>1.3493318717698242</v>
      </c>
      <c r="AJ101" s="48">
        <v>1.3494808166071062</v>
      </c>
      <c r="AK101" s="48">
        <v>1.3495522149856904</v>
      </c>
      <c r="AL101" s="48">
        <v>1.3496160946028219</v>
      </c>
      <c r="AM101" s="19">
        <v>1.3496879578982297</v>
      </c>
      <c r="AN101" s="49">
        <v>1.3496879578982297</v>
      </c>
    </row>
    <row r="102" spans="12:40" x14ac:dyDescent="0.35">
      <c r="L102" s="46"/>
      <c r="M102" s="47">
        <v>0.75000000000000044</v>
      </c>
      <c r="N102" s="46">
        <v>1.6866844288786988</v>
      </c>
      <c r="O102" s="46">
        <v>1.6765378845038106</v>
      </c>
      <c r="P102" s="48">
        <v>1.6514061000782163</v>
      </c>
      <c r="Q102" s="48">
        <v>1.6306205652854953</v>
      </c>
      <c r="R102" s="48">
        <v>1.5985272795014711</v>
      </c>
      <c r="S102" s="19">
        <v>1.5767395280905299</v>
      </c>
      <c r="T102" s="46">
        <v>1.5592401529144913</v>
      </c>
      <c r="U102" s="48">
        <v>1.5390696244301902</v>
      </c>
      <c r="V102" s="48">
        <v>1.5157582960469278</v>
      </c>
      <c r="W102" s="48">
        <v>1.4949969985124802</v>
      </c>
      <c r="X102" s="19">
        <v>1.4757890140137504</v>
      </c>
      <c r="Y102" s="48">
        <v>1.457721804896791</v>
      </c>
      <c r="Z102" s="48">
        <v>1.4411993711245015</v>
      </c>
      <c r="AA102" s="48">
        <v>1.4279080458309346</v>
      </c>
      <c r="AB102" s="48">
        <v>1.4161077005343545</v>
      </c>
      <c r="AC102" s="48">
        <v>1.4065689630861178</v>
      </c>
      <c r="AD102" s="46">
        <v>1.3990210069694</v>
      </c>
      <c r="AE102" s="48">
        <v>1.3932135955217977</v>
      </c>
      <c r="AF102" s="48">
        <v>1.3892093160268633</v>
      </c>
      <c r="AG102" s="48">
        <v>1.3861980374392897</v>
      </c>
      <c r="AH102" s="19">
        <v>1.383751991046553</v>
      </c>
      <c r="AI102" s="48">
        <v>1.381752833487554</v>
      </c>
      <c r="AJ102" s="48">
        <v>1.3800521330758253</v>
      </c>
      <c r="AK102" s="48">
        <v>1.3786125280939832</v>
      </c>
      <c r="AL102" s="48">
        <v>1.3772276875666962</v>
      </c>
      <c r="AM102" s="19">
        <v>1.3761051053336746</v>
      </c>
      <c r="AN102" s="49">
        <v>1.3761051053336746</v>
      </c>
    </row>
    <row r="103" spans="12:40" x14ac:dyDescent="0.35">
      <c r="L103" s="46"/>
      <c r="M103" s="47">
        <v>0.90000000000000058</v>
      </c>
      <c r="N103" s="46">
        <v>2.7051440235334479</v>
      </c>
      <c r="O103" s="46">
        <v>2.3907964632012546</v>
      </c>
      <c r="P103" s="48">
        <v>2.227222936927967</v>
      </c>
      <c r="Q103" s="48">
        <v>2.1215790511971995</v>
      </c>
      <c r="R103" s="48">
        <v>1.990104273978438</v>
      </c>
      <c r="S103" s="19">
        <v>1.9099811913694786</v>
      </c>
      <c r="T103" s="46">
        <v>1.8520125695617258</v>
      </c>
      <c r="U103" s="48">
        <v>1.7917312937812298</v>
      </c>
      <c r="V103" s="48">
        <v>1.7268407699437356</v>
      </c>
      <c r="W103" s="48">
        <v>1.671026224660404</v>
      </c>
      <c r="X103" s="19">
        <v>1.6217835198796338</v>
      </c>
      <c r="Y103" s="48">
        <v>1.5770929341369611</v>
      </c>
      <c r="Z103" s="48">
        <v>1.5394429397204972</v>
      </c>
      <c r="AA103" s="48">
        <v>1.508647224074668</v>
      </c>
      <c r="AB103" s="48">
        <v>1.4834510212922905</v>
      </c>
      <c r="AC103" s="48">
        <v>1.4632157408451802</v>
      </c>
      <c r="AD103" s="46">
        <v>1.4472977189247804</v>
      </c>
      <c r="AE103" s="48">
        <v>1.4353350369864555</v>
      </c>
      <c r="AF103" s="48">
        <v>1.4270986903879668</v>
      </c>
      <c r="AG103" s="48">
        <v>1.4206654078357206</v>
      </c>
      <c r="AH103" s="19">
        <v>1.4158315047160197</v>
      </c>
      <c r="AI103" s="48">
        <v>1.4118002140566361</v>
      </c>
      <c r="AJ103" s="48">
        <v>1.4082728351554812</v>
      </c>
      <c r="AK103" s="48">
        <v>1.405410165974617</v>
      </c>
      <c r="AL103" s="48">
        <v>1.402736406242262</v>
      </c>
      <c r="AM103" s="19">
        <v>1.4005017071871808</v>
      </c>
      <c r="AN103" s="49">
        <v>1.4005017071871808</v>
      </c>
    </row>
    <row r="104" spans="12:40" x14ac:dyDescent="0.35">
      <c r="L104" s="46"/>
      <c r="M104" s="47">
        <v>0.99000000000000066</v>
      </c>
      <c r="N104" s="46">
        <v>6.0887537715420308</v>
      </c>
      <c r="O104" s="46">
        <v>4.4724107014327856</v>
      </c>
      <c r="P104" s="48">
        <v>3.804971756344071</v>
      </c>
      <c r="Q104" s="48">
        <v>3.4097022569126474</v>
      </c>
      <c r="R104" s="48">
        <v>2.9609225811331608</v>
      </c>
      <c r="S104" s="19">
        <v>2.7058410821667804</v>
      </c>
      <c r="T104" s="46">
        <v>2.5369490491363353</v>
      </c>
      <c r="U104" s="48">
        <v>2.3653225689783919</v>
      </c>
      <c r="V104" s="48">
        <v>2.1894385917681478</v>
      </c>
      <c r="W104" s="48">
        <v>2.0447100268239287</v>
      </c>
      <c r="X104" s="19">
        <v>1.9219354264364792</v>
      </c>
      <c r="Y104" s="48">
        <v>1.8168871978751382</v>
      </c>
      <c r="Z104" s="48">
        <v>1.7310685001454131</v>
      </c>
      <c r="AA104" s="48">
        <v>1.66430178037159</v>
      </c>
      <c r="AB104" s="48">
        <v>1.6100596075128113</v>
      </c>
      <c r="AC104" s="48">
        <v>1.5679030853688658</v>
      </c>
      <c r="AD104" s="46">
        <v>1.5358131507449784</v>
      </c>
      <c r="AE104" s="48">
        <v>1.5120883936383089</v>
      </c>
      <c r="AF104" s="48">
        <v>1.4955701929677736</v>
      </c>
      <c r="AG104" s="48">
        <v>1.4831109769497008</v>
      </c>
      <c r="AH104" s="19">
        <v>1.4733813233195856</v>
      </c>
      <c r="AI104" s="48">
        <v>1.4655331394265345</v>
      </c>
      <c r="AJ104" s="48">
        <v>1.4587649282590329</v>
      </c>
      <c r="AK104" s="48">
        <v>1.4529653561226921</v>
      </c>
      <c r="AL104" s="48">
        <v>1.4481397178450941</v>
      </c>
      <c r="AM104" s="19">
        <v>1.4438001390159358</v>
      </c>
      <c r="AN104" s="49">
        <v>1.4438001390159358</v>
      </c>
    </row>
    <row r="105" spans="12:40" x14ac:dyDescent="0.35">
      <c r="L105" s="50"/>
      <c r="M105" s="51">
        <v>0.999</v>
      </c>
      <c r="N105" s="50">
        <v>10.992202590591392</v>
      </c>
      <c r="O105" s="50">
        <v>7.2908180041866313</v>
      </c>
      <c r="P105" s="52">
        <v>5.7768645615831575</v>
      </c>
      <c r="Q105" s="52">
        <v>4.9788757642761894</v>
      </c>
      <c r="R105" s="52">
        <v>4.0707432503063927</v>
      </c>
      <c r="S105" s="30">
        <v>3.5920794212727909</v>
      </c>
      <c r="T105" s="50">
        <v>3.2831404728305285</v>
      </c>
      <c r="U105" s="52">
        <v>2.9559482085782958</v>
      </c>
      <c r="V105" s="52">
        <v>2.6512525002906546</v>
      </c>
      <c r="W105" s="52">
        <v>2.4080507876139694</v>
      </c>
      <c r="X105" s="30">
        <v>2.2049700740069325</v>
      </c>
      <c r="Y105" s="52">
        <v>2.0328752738423663</v>
      </c>
      <c r="Z105" s="52">
        <v>1.8995550339349132</v>
      </c>
      <c r="AA105" s="52">
        <v>1.7944677647521812</v>
      </c>
      <c r="AB105" s="52">
        <v>1.7121336084355299</v>
      </c>
      <c r="AC105" s="52">
        <v>1.6503772467961264</v>
      </c>
      <c r="AD105" s="50">
        <v>1.6064087163994751</v>
      </c>
      <c r="AE105" s="52">
        <v>1.5728673786754734</v>
      </c>
      <c r="AF105" s="52">
        <v>1.5488704850555437</v>
      </c>
      <c r="AG105" s="52">
        <v>1.5317326947526391</v>
      </c>
      <c r="AH105" s="30">
        <v>1.5176133023104563</v>
      </c>
      <c r="AI105" s="52">
        <v>1.5065419340884192</v>
      </c>
      <c r="AJ105" s="52">
        <v>1.4979878596429632</v>
      </c>
      <c r="AK105" s="52">
        <v>1.4902052984666585</v>
      </c>
      <c r="AL105" s="52">
        <v>1.4827066792420662</v>
      </c>
      <c r="AM105" s="30">
        <v>1.4762769815935488</v>
      </c>
      <c r="AN105" s="53">
        <v>1.4762769815935488</v>
      </c>
    </row>
    <row r="106" spans="12:40" x14ac:dyDescent="0.35">
      <c r="L106" s="41"/>
      <c r="M106" s="42">
        <v>1E-3</v>
      </c>
      <c r="N106" s="41">
        <v>4.0823007318102393E-2</v>
      </c>
      <c r="O106" s="41">
        <v>0.11765316459440586</v>
      </c>
      <c r="P106" s="43">
        <v>0.18877850787974926</v>
      </c>
      <c r="Q106" s="43">
        <v>0.24959236471535082</v>
      </c>
      <c r="R106" s="43">
        <v>0.35654905868872178</v>
      </c>
      <c r="S106" s="44">
        <v>0.43445073365756998</v>
      </c>
      <c r="T106" s="41">
        <v>0.49977850528800583</v>
      </c>
      <c r="U106" s="43">
        <v>0.57649061779158484</v>
      </c>
      <c r="V106" s="43">
        <v>0.67740571098067981</v>
      </c>
      <c r="W106" s="43">
        <v>0.77470604847337921</v>
      </c>
      <c r="X106" s="44">
        <v>0.87559028685174412</v>
      </c>
      <c r="Y106" s="43">
        <v>0.97012459063935708</v>
      </c>
      <c r="Z106" s="43">
        <v>1.0660050997224624</v>
      </c>
      <c r="AA106" s="43">
        <v>1.1471807401914864</v>
      </c>
      <c r="AB106" s="43">
        <v>1.2227323925738951</v>
      </c>
      <c r="AC106" s="43">
        <v>1.2843545215722618</v>
      </c>
      <c r="AD106" s="41">
        <v>1.3351586492990695</v>
      </c>
      <c r="AE106" s="43">
        <v>1.3770841454400473</v>
      </c>
      <c r="AF106" s="43">
        <v>1.4073757122314383</v>
      </c>
      <c r="AG106" s="43">
        <v>1.4294263873782214</v>
      </c>
      <c r="AH106" s="44">
        <v>1.4473338349384244</v>
      </c>
      <c r="AI106" s="43">
        <v>1.4639034721473347</v>
      </c>
      <c r="AJ106" s="43">
        <v>1.4752095814880615</v>
      </c>
      <c r="AK106" s="43">
        <v>1.4870989179517651</v>
      </c>
      <c r="AL106" s="43">
        <v>1.4971519730786</v>
      </c>
      <c r="AM106" s="44">
        <v>1.5056243447343904</v>
      </c>
      <c r="AN106" s="45">
        <v>1.5056243447343904</v>
      </c>
    </row>
    <row r="107" spans="12:40" x14ac:dyDescent="0.35">
      <c r="L107" s="46"/>
      <c r="M107" s="47">
        <v>0.01</v>
      </c>
      <c r="N107" s="46">
        <v>8.9034469916155476E-2</v>
      </c>
      <c r="O107" s="46">
        <v>0.20922866353879024</v>
      </c>
      <c r="P107" s="48">
        <v>0.30479690851883923</v>
      </c>
      <c r="Q107" s="48">
        <v>0.3832312202729462</v>
      </c>
      <c r="R107" s="48">
        <v>0.50149596800049756</v>
      </c>
      <c r="S107" s="19">
        <v>0.58884375535775046</v>
      </c>
      <c r="T107" s="46">
        <v>0.65728351969762089</v>
      </c>
      <c r="U107" s="48">
        <v>0.73678378554644763</v>
      </c>
      <c r="V107" s="48">
        <v>0.83357520928023721</v>
      </c>
      <c r="W107" s="48">
        <v>0.92828251935354689</v>
      </c>
      <c r="X107" s="19">
        <v>1.0183277551039047</v>
      </c>
      <c r="Y107" s="48">
        <v>1.1066403004911438</v>
      </c>
      <c r="Z107" s="48">
        <v>1.189912533330902</v>
      </c>
      <c r="AA107" s="48">
        <v>1.2610181240294789</v>
      </c>
      <c r="AB107" s="48">
        <v>1.3235211290648308</v>
      </c>
      <c r="AC107" s="48">
        <v>1.3757688960242496</v>
      </c>
      <c r="AD107" s="46">
        <v>1.4185684925574762</v>
      </c>
      <c r="AE107" s="48">
        <v>1.4522981700942907</v>
      </c>
      <c r="AF107" s="48">
        <v>1.4757634466733334</v>
      </c>
      <c r="AG107" s="48">
        <v>1.4940468639986895</v>
      </c>
      <c r="AH107" s="19">
        <v>1.5086390018503759</v>
      </c>
      <c r="AI107" s="48">
        <v>1.5206373414099636</v>
      </c>
      <c r="AJ107" s="48">
        <v>1.530715398140039</v>
      </c>
      <c r="AK107" s="48">
        <v>1.539429372148942</v>
      </c>
      <c r="AL107" s="48">
        <v>1.5474389562815281</v>
      </c>
      <c r="AM107" s="19">
        <v>1.5546043463820733</v>
      </c>
      <c r="AN107" s="49">
        <v>1.5546043463820733</v>
      </c>
    </row>
    <row r="108" spans="12:40" x14ac:dyDescent="0.35">
      <c r="L108" s="46"/>
      <c r="M108" s="47">
        <v>9.9999999999999992E-2</v>
      </c>
      <c r="N108" s="46">
        <v>0.26347577173151349</v>
      </c>
      <c r="O108" s="46">
        <v>0.46186125674873724</v>
      </c>
      <c r="P108" s="48">
        <v>0.59093129997889637</v>
      </c>
      <c r="Q108" s="48">
        <v>0.68372462524749356</v>
      </c>
      <c r="R108" s="48">
        <v>0.81144926156095176</v>
      </c>
      <c r="S108" s="19">
        <v>0.89784286722965434</v>
      </c>
      <c r="T108" s="46">
        <v>0.96277932439579028</v>
      </c>
      <c r="U108" s="48">
        <v>1.0344452175559986</v>
      </c>
      <c r="V108" s="48">
        <v>1.1179051783748388</v>
      </c>
      <c r="W108" s="48">
        <v>1.1941899626920889</v>
      </c>
      <c r="X108" s="19">
        <v>1.2641030587606308</v>
      </c>
      <c r="Y108" s="48">
        <v>1.3298693438901004</v>
      </c>
      <c r="Z108" s="48">
        <v>1.3887724231236893</v>
      </c>
      <c r="AA108" s="48">
        <v>1.4372870693612951</v>
      </c>
      <c r="AB108" s="48">
        <v>1.4790593295489152</v>
      </c>
      <c r="AC108" s="48">
        <v>1.5132971751911735</v>
      </c>
      <c r="AD108" s="46">
        <v>1.5407891790475421</v>
      </c>
      <c r="AE108" s="48">
        <v>1.5616913040890734</v>
      </c>
      <c r="AF108" s="48">
        <v>1.5768373238238735</v>
      </c>
      <c r="AG108" s="48">
        <v>1.5881083543512502</v>
      </c>
      <c r="AH108" s="19">
        <v>1.5970533873203347</v>
      </c>
      <c r="AI108" s="48">
        <v>1.6045671804898327</v>
      </c>
      <c r="AJ108" s="48">
        <v>1.6106591065892975</v>
      </c>
      <c r="AK108" s="48">
        <v>1.6160527021990174</v>
      </c>
      <c r="AL108" s="48">
        <v>1.6208280855045107</v>
      </c>
      <c r="AM108" s="19">
        <v>1.6251647326473111</v>
      </c>
      <c r="AN108" s="49">
        <v>1.6251647326473111</v>
      </c>
    </row>
    <row r="109" spans="12:40" x14ac:dyDescent="0.35">
      <c r="L109" s="46"/>
      <c r="M109" s="47">
        <v>0.25000000000000006</v>
      </c>
      <c r="N109" s="46">
        <v>0.49571440938241906</v>
      </c>
      <c r="O109" s="46">
        <v>0.73510898832476024</v>
      </c>
      <c r="P109" s="48">
        <v>0.87188816397000868</v>
      </c>
      <c r="Q109" s="48">
        <v>0.96145026216762819</v>
      </c>
      <c r="R109" s="48">
        <v>1.0793841414915493</v>
      </c>
      <c r="S109" s="19">
        <v>1.1544981675152368</v>
      </c>
      <c r="T109" s="46">
        <v>1.2073744168899412</v>
      </c>
      <c r="U109" s="48">
        <v>1.2656926353044828</v>
      </c>
      <c r="V109" s="48">
        <v>1.3299340092888856</v>
      </c>
      <c r="W109" s="48">
        <v>1.3868576825398111</v>
      </c>
      <c r="X109" s="19">
        <v>1.4370266159327458</v>
      </c>
      <c r="Y109" s="48">
        <v>1.4825753566494853</v>
      </c>
      <c r="Z109" s="48">
        <v>1.5225260808816219</v>
      </c>
      <c r="AA109" s="48">
        <v>1.554340327676679</v>
      </c>
      <c r="AB109" s="48">
        <v>1.5805287297585449</v>
      </c>
      <c r="AC109" s="48">
        <v>1.6017151900413884</v>
      </c>
      <c r="AD109" s="46">
        <v>1.6182915185700191</v>
      </c>
      <c r="AE109" s="48">
        <v>1.6311705164755841</v>
      </c>
      <c r="AF109" s="48">
        <v>1.6401256103348714</v>
      </c>
      <c r="AG109" s="48">
        <v>1.6468742671572449</v>
      </c>
      <c r="AH109" s="19">
        <v>1.6521802236673091</v>
      </c>
      <c r="AI109" s="48">
        <v>1.6562529953039808</v>
      </c>
      <c r="AJ109" s="48">
        <v>1.6598043597748648</v>
      </c>
      <c r="AK109" s="48">
        <v>1.6629039172771731</v>
      </c>
      <c r="AL109" s="48">
        <v>1.6656027805520592</v>
      </c>
      <c r="AM109" s="19">
        <v>1.6680895451513422</v>
      </c>
      <c r="AN109" s="49">
        <v>1.6680895451513422</v>
      </c>
    </row>
    <row r="110" spans="12:40" x14ac:dyDescent="0.35">
      <c r="L110" s="46">
        <f>M33</f>
        <v>3.8</v>
      </c>
      <c r="M110" s="47">
        <v>0.50000000000000022</v>
      </c>
      <c r="N110" s="46">
        <v>1.0002739703767607</v>
      </c>
      <c r="O110" s="46">
        <v>1.2390603651076855</v>
      </c>
      <c r="P110" s="48">
        <v>1.3515564979752932</v>
      </c>
      <c r="Q110" s="48">
        <v>1.4166671893803584</v>
      </c>
      <c r="R110" s="48">
        <v>1.4924298031295773</v>
      </c>
      <c r="S110" s="19">
        <v>1.5368025924769844</v>
      </c>
      <c r="T110" s="46">
        <v>1.5653393845716264</v>
      </c>
      <c r="U110" s="48">
        <v>1.5943184992001269</v>
      </c>
      <c r="V110" s="48">
        <v>1.6233082431103236</v>
      </c>
      <c r="W110" s="48">
        <v>1.6469624092338593</v>
      </c>
      <c r="X110" s="19">
        <v>1.6648070865928211</v>
      </c>
      <c r="Y110" s="48">
        <v>1.6791076848209281</v>
      </c>
      <c r="Z110" s="48">
        <v>1.6909496849912837</v>
      </c>
      <c r="AA110" s="48">
        <v>1.6987678415583756</v>
      </c>
      <c r="AB110" s="48">
        <v>1.7043164232754719</v>
      </c>
      <c r="AC110" s="48">
        <v>1.7083990070284301</v>
      </c>
      <c r="AD110" s="46">
        <v>1.7115333107298167</v>
      </c>
      <c r="AE110" s="48">
        <v>1.7135883842672113</v>
      </c>
      <c r="AF110" s="48">
        <v>1.7145950536019627</v>
      </c>
      <c r="AG110" s="48">
        <v>1.7156509325309182</v>
      </c>
      <c r="AH110" s="19">
        <v>1.716356904627081</v>
      </c>
      <c r="AI110" s="48">
        <v>1.7167904980677569</v>
      </c>
      <c r="AJ110" s="48">
        <v>1.7171739132409283</v>
      </c>
      <c r="AK110" s="48">
        <v>1.7174791814248911</v>
      </c>
      <c r="AL110" s="48">
        <v>1.7177573742697656</v>
      </c>
      <c r="AM110" s="19">
        <v>1.7179317882148606</v>
      </c>
      <c r="AN110" s="49">
        <v>1.7179317882148606</v>
      </c>
    </row>
    <row r="111" spans="12:40" x14ac:dyDescent="0.35">
      <c r="L111" s="46"/>
      <c r="M111" s="47">
        <v>0.75000000000000044</v>
      </c>
      <c r="N111" s="46">
        <v>2.0190618910395153</v>
      </c>
      <c r="O111" s="46">
        <v>2.110302446564456</v>
      </c>
      <c r="P111" s="48">
        <v>2.1173930216152432</v>
      </c>
      <c r="Q111" s="48">
        <v>2.1104656318183412</v>
      </c>
      <c r="R111" s="48">
        <v>2.0884682732607782</v>
      </c>
      <c r="S111" s="19">
        <v>2.0693569084854468</v>
      </c>
      <c r="T111" s="46">
        <v>2.0503379807871696</v>
      </c>
      <c r="U111" s="48">
        <v>2.0260883526930757</v>
      </c>
      <c r="V111" s="48">
        <v>1.9955915089578746</v>
      </c>
      <c r="W111" s="48">
        <v>1.9671104851698082</v>
      </c>
      <c r="X111" s="19">
        <v>1.9391309254543319</v>
      </c>
      <c r="Y111" s="48">
        <v>1.9109801554254306</v>
      </c>
      <c r="Z111" s="48">
        <v>1.8849151040902483</v>
      </c>
      <c r="AA111" s="48">
        <v>1.8627217201188067</v>
      </c>
      <c r="AB111" s="48">
        <v>1.8421867756612218</v>
      </c>
      <c r="AC111" s="48">
        <v>1.8257616127618823</v>
      </c>
      <c r="AD111" s="46">
        <v>1.8121492430968622</v>
      </c>
      <c r="AE111" s="48">
        <v>1.8018412417072114</v>
      </c>
      <c r="AF111" s="48">
        <v>1.7945412419221518</v>
      </c>
      <c r="AG111" s="48">
        <v>1.7888163082259898</v>
      </c>
      <c r="AH111" s="19">
        <v>1.7844156844590624</v>
      </c>
      <c r="AI111" s="48">
        <v>1.7806653200024565</v>
      </c>
      <c r="AJ111" s="48">
        <v>1.7775612995652503</v>
      </c>
      <c r="AK111" s="48">
        <v>1.7747203735440857</v>
      </c>
      <c r="AL111" s="48">
        <v>1.772252513828344</v>
      </c>
      <c r="AM111" s="19">
        <v>1.77011601267133</v>
      </c>
      <c r="AN111" s="49">
        <v>1.77011601267133</v>
      </c>
    </row>
    <row r="112" spans="12:40" x14ac:dyDescent="0.35">
      <c r="L112" s="46"/>
      <c r="M112" s="47">
        <v>0.90000000000000058</v>
      </c>
      <c r="N112" s="46">
        <v>3.8097339095265541</v>
      </c>
      <c r="O112" s="46">
        <v>3.4425649277111345</v>
      </c>
      <c r="P112" s="48">
        <v>3.22359077467175</v>
      </c>
      <c r="Q112" s="48">
        <v>3.0697957478269844</v>
      </c>
      <c r="R112" s="48">
        <v>2.8684428241529165</v>
      </c>
      <c r="S112" s="19">
        <v>2.7400150881416176</v>
      </c>
      <c r="T112" s="46">
        <v>2.643754511367034</v>
      </c>
      <c r="U112" s="48">
        <v>2.5416481748980835</v>
      </c>
      <c r="V112" s="48">
        <v>2.4298871568778031</v>
      </c>
      <c r="W112" s="48">
        <v>2.3296852326627158</v>
      </c>
      <c r="X112" s="19">
        <v>2.2410137885062382</v>
      </c>
      <c r="Y112" s="48">
        <v>2.1587537984078615</v>
      </c>
      <c r="Z112" s="48">
        <v>2.0884775761153445</v>
      </c>
      <c r="AA112" s="48">
        <v>2.0297973713250266</v>
      </c>
      <c r="AB112" s="48">
        <v>1.9815433477942137</v>
      </c>
      <c r="AC112" s="48">
        <v>1.9422743531463789</v>
      </c>
      <c r="AD112" s="46">
        <v>1.9109690847423466</v>
      </c>
      <c r="AE112" s="48">
        <v>1.887870681491745</v>
      </c>
      <c r="AF112" s="48">
        <v>1.8717582014751653</v>
      </c>
      <c r="AG112" s="48">
        <v>1.8592838389361375</v>
      </c>
      <c r="AH112" s="19">
        <v>1.8495545317598936</v>
      </c>
      <c r="AI112" s="48">
        <v>1.8416570720361543</v>
      </c>
      <c r="AJ112" s="48">
        <v>1.8348674988575815</v>
      </c>
      <c r="AK112" s="48">
        <v>1.8292006849637001</v>
      </c>
      <c r="AL112" s="48">
        <v>1.8237527282332207</v>
      </c>
      <c r="AM112" s="19">
        <v>1.8193610319957214</v>
      </c>
      <c r="AN112" s="49">
        <v>1.8193610319957214</v>
      </c>
    </row>
    <row r="113" spans="12:40" x14ac:dyDescent="0.35">
      <c r="L113" s="46"/>
      <c r="M113" s="47">
        <v>0.99000000000000066</v>
      </c>
      <c r="N113" s="46">
        <v>11.336056854499668</v>
      </c>
      <c r="O113" s="46">
        <v>8.3060600084887319</v>
      </c>
      <c r="P113" s="48">
        <v>6.9746765139350799</v>
      </c>
      <c r="Q113" s="48">
        <v>6.1632472144891661</v>
      </c>
      <c r="R113" s="48">
        <v>5.2136720641293879</v>
      </c>
      <c r="S113" s="19">
        <v>4.6755837952575057</v>
      </c>
      <c r="T113" s="46">
        <v>4.3115709110321108</v>
      </c>
      <c r="U113" s="48">
        <v>3.9404340871452255</v>
      </c>
      <c r="V113" s="48">
        <v>3.5529280491298518</v>
      </c>
      <c r="W113" s="48">
        <v>3.2377517577561479</v>
      </c>
      <c r="X113" s="19">
        <v>2.9647729561289302</v>
      </c>
      <c r="Y113" s="48">
        <v>2.7309107728741595</v>
      </c>
      <c r="Z113" s="48">
        <v>2.537664487966619</v>
      </c>
      <c r="AA113" s="48">
        <v>2.3885275450498384</v>
      </c>
      <c r="AB113" s="48">
        <v>2.2689775121828029</v>
      </c>
      <c r="AC113" s="48">
        <v>2.1760484547006498</v>
      </c>
      <c r="AD113" s="46">
        <v>2.1065843823271706</v>
      </c>
      <c r="AE113" s="48">
        <v>2.0556841328684881</v>
      </c>
      <c r="AF113" s="48">
        <v>2.0196181358563048</v>
      </c>
      <c r="AG113" s="48">
        <v>1.9934437565497027</v>
      </c>
      <c r="AH113" s="19">
        <v>1.9725292145525095</v>
      </c>
      <c r="AI113" s="48">
        <v>1.9564173540064647</v>
      </c>
      <c r="AJ113" s="48">
        <v>1.9421438904639168</v>
      </c>
      <c r="AK113" s="48">
        <v>1.9302005050682489</v>
      </c>
      <c r="AL113" s="48">
        <v>1.9201115913620834</v>
      </c>
      <c r="AM113" s="19">
        <v>1.9107182382924943</v>
      </c>
      <c r="AN113" s="49">
        <v>1.9107182382924943</v>
      </c>
    </row>
    <row r="114" spans="12:40" x14ac:dyDescent="0.35">
      <c r="L114" s="50"/>
      <c r="M114" s="51">
        <v>0.999</v>
      </c>
      <c r="N114" s="50">
        <v>25.077945651994696</v>
      </c>
      <c r="O114" s="50">
        <v>16.489081670761717</v>
      </c>
      <c r="P114" s="52">
        <v>12.949166508028458</v>
      </c>
      <c r="Q114" s="52">
        <v>10.942305084421601</v>
      </c>
      <c r="R114" s="52">
        <v>8.6730240090487278</v>
      </c>
      <c r="S114" s="30">
        <v>7.4758492009275983</v>
      </c>
      <c r="T114" s="50">
        <v>6.7010778066358796</v>
      </c>
      <c r="U114" s="52">
        <v>5.8608955587641489</v>
      </c>
      <c r="V114" s="52">
        <v>5.0301220885620275</v>
      </c>
      <c r="W114" s="52">
        <v>4.3827674952028719</v>
      </c>
      <c r="X114" s="30">
        <v>3.8462638226300583</v>
      </c>
      <c r="Y114" s="52">
        <v>3.3852125047001884</v>
      </c>
      <c r="Z114" s="52">
        <v>3.0422934692855064</v>
      </c>
      <c r="AA114" s="52">
        <v>2.7631876950909251</v>
      </c>
      <c r="AB114" s="52">
        <v>2.5533074456206859</v>
      </c>
      <c r="AC114" s="52">
        <v>2.4012103798521176</v>
      </c>
      <c r="AD114" s="50">
        <v>2.289394544411949</v>
      </c>
      <c r="AE114" s="52">
        <v>2.2106768735994011</v>
      </c>
      <c r="AF114" s="52">
        <v>2.1515775389619987</v>
      </c>
      <c r="AG114" s="52">
        <v>2.1102507012429816</v>
      </c>
      <c r="AH114" s="30">
        <v>2.0785034039123365</v>
      </c>
      <c r="AI114" s="52">
        <v>2.0540419691081571</v>
      </c>
      <c r="AJ114" s="52">
        <v>2.0327749247287863</v>
      </c>
      <c r="AK114" s="52">
        <v>2.0152622367663668</v>
      </c>
      <c r="AL114" s="52">
        <v>1.9998221178112512</v>
      </c>
      <c r="AM114" s="30">
        <v>1.984868520838907</v>
      </c>
      <c r="AN114" s="53">
        <v>1.984868520838907</v>
      </c>
    </row>
    <row r="115" spans="12:40" x14ac:dyDescent="0.35">
      <c r="L115" s="41"/>
      <c r="M115" s="42">
        <v>1E-3</v>
      </c>
      <c r="N115" s="41">
        <v>2.1151834064967547E-2</v>
      </c>
      <c r="O115" s="41">
        <v>7.7359732014136193E-2</v>
      </c>
      <c r="P115" s="43">
        <v>0.13719162949141089</v>
      </c>
      <c r="Q115" s="43">
        <v>0.19410648641346284</v>
      </c>
      <c r="R115" s="43">
        <v>0.3001841534151129</v>
      </c>
      <c r="S115" s="44">
        <v>0.38189223096052816</v>
      </c>
      <c r="T115" s="41">
        <v>0.45502237965812126</v>
      </c>
      <c r="U115" s="43">
        <v>0.54542979024194993</v>
      </c>
      <c r="V115" s="43">
        <v>0.66471936305732016</v>
      </c>
      <c r="W115" s="43">
        <v>0.78710528225342036</v>
      </c>
      <c r="X115" s="44">
        <v>0.9163260764565837</v>
      </c>
      <c r="Y115" s="43">
        <v>1.0440936981464291</v>
      </c>
      <c r="Z115" s="43">
        <v>1.175641231056844</v>
      </c>
      <c r="AA115" s="43">
        <v>1.2906146514213985</v>
      </c>
      <c r="AB115" s="43">
        <v>1.4007116939572162</v>
      </c>
      <c r="AC115" s="43">
        <v>1.4914536576555668</v>
      </c>
      <c r="AD115" s="41">
        <v>1.5697908468764581</v>
      </c>
      <c r="AE115" s="43">
        <v>1.6332371361114755</v>
      </c>
      <c r="AF115" s="43">
        <v>1.6806411497335971</v>
      </c>
      <c r="AG115" s="43">
        <v>1.7150360435218821</v>
      </c>
      <c r="AH115" s="44">
        <v>1.7438449773348372</v>
      </c>
      <c r="AI115" s="43">
        <v>1.7683368570377467</v>
      </c>
      <c r="AJ115" s="43">
        <v>1.7874952218175577</v>
      </c>
      <c r="AK115" s="43">
        <v>1.8063367056258972</v>
      </c>
      <c r="AL115" s="43">
        <v>1.8225733048670418</v>
      </c>
      <c r="AM115" s="44">
        <v>1.8368144055273952</v>
      </c>
      <c r="AN115" s="45">
        <v>1.8368144055273952</v>
      </c>
    </row>
    <row r="116" spans="12:40" x14ac:dyDescent="0.35">
      <c r="L116" s="46"/>
      <c r="M116" s="47">
        <v>0.01</v>
      </c>
      <c r="N116" s="46">
        <v>5.415247614057659E-2</v>
      </c>
      <c r="O116" s="46">
        <v>0.15459243971758668</v>
      </c>
      <c r="P116" s="48">
        <v>0.24566404560297722</v>
      </c>
      <c r="Q116" s="48">
        <v>0.32623607234930307</v>
      </c>
      <c r="R116" s="48">
        <v>0.45557413444934669</v>
      </c>
      <c r="S116" s="19">
        <v>0.55611194297432798</v>
      </c>
      <c r="T116" s="46">
        <v>0.63708345469958139</v>
      </c>
      <c r="U116" s="48">
        <v>0.7360494540330017</v>
      </c>
      <c r="V116" s="48">
        <v>0.85913243830106878</v>
      </c>
      <c r="W116" s="48">
        <v>0.98455290841848597</v>
      </c>
      <c r="X116" s="19">
        <v>1.1075461734916954</v>
      </c>
      <c r="Y116" s="48">
        <v>1.2317957487796976</v>
      </c>
      <c r="Z116" s="48">
        <v>1.3513296837829691</v>
      </c>
      <c r="AA116" s="48">
        <v>1.4560040917794952</v>
      </c>
      <c r="AB116" s="48">
        <v>1.5496764386512483</v>
      </c>
      <c r="AC116" s="48">
        <v>1.6305667030501985</v>
      </c>
      <c r="AD116" s="46">
        <v>1.6972664170403384</v>
      </c>
      <c r="AE116" s="48">
        <v>1.7503872738375117</v>
      </c>
      <c r="AF116" s="48">
        <v>1.7882142583862299</v>
      </c>
      <c r="AG116" s="48">
        <v>1.8174267743539996</v>
      </c>
      <c r="AH116" s="19">
        <v>1.8411855530344923</v>
      </c>
      <c r="AI116" s="48">
        <v>1.8608058052230243</v>
      </c>
      <c r="AJ116" s="48">
        <v>1.8775640458222371</v>
      </c>
      <c r="AK116" s="48">
        <v>1.8915045843080276</v>
      </c>
      <c r="AL116" s="48">
        <v>1.9043247303730901</v>
      </c>
      <c r="AM116" s="19">
        <v>1.9163375010217274</v>
      </c>
      <c r="AN116" s="49">
        <v>1.9163375010217274</v>
      </c>
    </row>
    <row r="117" spans="12:40" x14ac:dyDescent="0.35">
      <c r="L117" s="46"/>
      <c r="M117" s="47">
        <v>9.9999999999999992E-2</v>
      </c>
      <c r="N117" s="46">
        <v>0.20029128572788621</v>
      </c>
      <c r="O117" s="46">
        <v>0.40390757882048112</v>
      </c>
      <c r="P117" s="48">
        <v>0.55023770856866749</v>
      </c>
      <c r="Q117" s="48">
        <v>0.66125986979089935</v>
      </c>
      <c r="R117" s="48">
        <v>0.82213368809056797</v>
      </c>
      <c r="S117" s="19">
        <v>0.93531571076223763</v>
      </c>
      <c r="T117" s="46">
        <v>1.0223974469335115</v>
      </c>
      <c r="U117" s="48">
        <v>1.1212696628684069</v>
      </c>
      <c r="V117" s="48">
        <v>1.238924238083444</v>
      </c>
      <c r="W117" s="48">
        <v>1.3505971151998823</v>
      </c>
      <c r="X117" s="19">
        <v>1.4539682553647373</v>
      </c>
      <c r="Y117" s="48">
        <v>1.5543032684966327</v>
      </c>
      <c r="Z117" s="48">
        <v>1.6461181911771294</v>
      </c>
      <c r="AA117" s="48">
        <v>1.7230852864587631</v>
      </c>
      <c r="AB117" s="48">
        <v>1.7901095261395159</v>
      </c>
      <c r="AC117" s="48">
        <v>1.8457253256240933</v>
      </c>
      <c r="AD117" s="46">
        <v>1.8908018150175343</v>
      </c>
      <c r="AE117" s="48">
        <v>1.9258066471566879</v>
      </c>
      <c r="AF117" s="48">
        <v>1.9512424186409134</v>
      </c>
      <c r="AG117" s="48">
        <v>1.970319205335431</v>
      </c>
      <c r="AH117" s="19">
        <v>1.9856850737199894</v>
      </c>
      <c r="AI117" s="48">
        <v>1.9981377113977081</v>
      </c>
      <c r="AJ117" s="48">
        <v>2.0085979442802242</v>
      </c>
      <c r="AK117" s="48">
        <v>2.0176746432030246</v>
      </c>
      <c r="AL117" s="48">
        <v>2.0258595832755026</v>
      </c>
      <c r="AM117" s="19">
        <v>2.0332627457783912</v>
      </c>
      <c r="AN117" s="49">
        <v>2.0332627457783912</v>
      </c>
    </row>
    <row r="118" spans="12:40" x14ac:dyDescent="0.35">
      <c r="L118" s="46"/>
      <c r="M118" s="47">
        <v>0.25000000000000006</v>
      </c>
      <c r="N118" s="46">
        <v>0.42912136440106791</v>
      </c>
      <c r="O118" s="46">
        <v>0.70986742372335943</v>
      </c>
      <c r="P118" s="48">
        <v>0.88435142954111245</v>
      </c>
      <c r="Q118" s="48">
        <v>1.0045502339284924</v>
      </c>
      <c r="R118" s="48">
        <v>1.1688956243045019</v>
      </c>
      <c r="S118" s="19">
        <v>1.2767655795915522</v>
      </c>
      <c r="T118" s="46">
        <v>1.3556631789683238</v>
      </c>
      <c r="U118" s="48">
        <v>1.4429278839244339</v>
      </c>
      <c r="V118" s="48">
        <v>1.5423520601346707</v>
      </c>
      <c r="W118" s="48">
        <v>1.6321687225666879</v>
      </c>
      <c r="X118" s="19">
        <v>1.712846890632499</v>
      </c>
      <c r="Y118" s="48">
        <v>1.7873739592340856</v>
      </c>
      <c r="Z118" s="48">
        <v>1.8538786703345975</v>
      </c>
      <c r="AA118" s="48">
        <v>1.9077048225234543</v>
      </c>
      <c r="AB118" s="48">
        <v>1.9524242165574002</v>
      </c>
      <c r="AC118" s="48">
        <v>1.9892265774962747</v>
      </c>
      <c r="AD118" s="46">
        <v>2.018369634624769</v>
      </c>
      <c r="AE118" s="48">
        <v>2.0407526138949188</v>
      </c>
      <c r="AF118" s="48">
        <v>2.0566538293195702</v>
      </c>
      <c r="AG118" s="48">
        <v>2.0684969793109191</v>
      </c>
      <c r="AH118" s="19">
        <v>2.0779171536442145</v>
      </c>
      <c r="AI118" s="48">
        <v>2.0852141089754106</v>
      </c>
      <c r="AJ118" s="48">
        <v>2.0915470607314783</v>
      </c>
      <c r="AK118" s="48">
        <v>2.0969593670158915</v>
      </c>
      <c r="AL118" s="48">
        <v>2.1017354619553359</v>
      </c>
      <c r="AM118" s="19">
        <v>2.1062614974428846</v>
      </c>
      <c r="AN118" s="49">
        <v>2.1062614974428846</v>
      </c>
    </row>
    <row r="119" spans="12:40" x14ac:dyDescent="0.35">
      <c r="L119" s="46">
        <f>M34</f>
        <v>5</v>
      </c>
      <c r="M119" s="47">
        <v>0.50000000000000022</v>
      </c>
      <c r="N119" s="46">
        <v>1.000330299906939</v>
      </c>
      <c r="O119" s="46">
        <v>1.3406211051198227</v>
      </c>
      <c r="P119" s="48">
        <v>1.5140532991298263</v>
      </c>
      <c r="Q119" s="48">
        <v>1.6197017594306939</v>
      </c>
      <c r="R119" s="48">
        <v>1.7481961015812564</v>
      </c>
      <c r="S119" s="19">
        <v>1.8259377348793724</v>
      </c>
      <c r="T119" s="46">
        <v>1.8781575466211469</v>
      </c>
      <c r="U119" s="48">
        <v>1.9318572379854997</v>
      </c>
      <c r="V119" s="48">
        <v>1.98746101908433</v>
      </c>
      <c r="W119" s="48">
        <v>2.0342914446394569</v>
      </c>
      <c r="X119" s="19">
        <v>2.0708887639742741</v>
      </c>
      <c r="Y119" s="48">
        <v>2.1019607182122266</v>
      </c>
      <c r="Z119" s="48">
        <v>2.1272269527250045</v>
      </c>
      <c r="AA119" s="48">
        <v>2.1452045161876283</v>
      </c>
      <c r="AB119" s="48">
        <v>2.1585320855697878</v>
      </c>
      <c r="AC119" s="48">
        <v>2.1685478552191704</v>
      </c>
      <c r="AD119" s="46">
        <v>2.1760355598998018</v>
      </c>
      <c r="AE119" s="48">
        <v>2.18100136898562</v>
      </c>
      <c r="AF119" s="48">
        <v>2.1839702968854677</v>
      </c>
      <c r="AG119" s="48">
        <v>2.1865327575514346</v>
      </c>
      <c r="AH119" s="19">
        <v>2.1882387757589497</v>
      </c>
      <c r="AI119" s="48">
        <v>2.1894584142044664</v>
      </c>
      <c r="AJ119" s="48">
        <v>2.190520212963956</v>
      </c>
      <c r="AK119" s="48">
        <v>2.1914171550290913</v>
      </c>
      <c r="AL119" s="48">
        <v>2.1921487319361872</v>
      </c>
      <c r="AM119" s="19">
        <v>2.1927010730028131</v>
      </c>
      <c r="AN119" s="49">
        <v>2.1927010730028131</v>
      </c>
    </row>
    <row r="120" spans="12:40" x14ac:dyDescent="0.35">
      <c r="L120" s="46"/>
      <c r="M120" s="47">
        <v>0.75000000000000044</v>
      </c>
      <c r="N120" s="46">
        <v>2.3328101494439202</v>
      </c>
      <c r="O120" s="46">
        <v>2.5703511016348535</v>
      </c>
      <c r="P120" s="48">
        <v>2.635735274894289</v>
      </c>
      <c r="Q120" s="48">
        <v>2.6588172459938968</v>
      </c>
      <c r="R120" s="48">
        <v>2.6650617012428239</v>
      </c>
      <c r="S120" s="19">
        <v>2.6607659707242943</v>
      </c>
      <c r="T120" s="46">
        <v>2.6477810013112064</v>
      </c>
      <c r="U120" s="48">
        <v>2.6277071032438064</v>
      </c>
      <c r="V120" s="48">
        <v>2.5968087386075052</v>
      </c>
      <c r="W120" s="48">
        <v>2.5650622924397259</v>
      </c>
      <c r="X120" s="19">
        <v>2.5313631977203208</v>
      </c>
      <c r="Y120" s="48">
        <v>2.495219170161846</v>
      </c>
      <c r="Z120" s="48">
        <v>2.4603469923802908</v>
      </c>
      <c r="AA120" s="48">
        <v>2.4291117078823663</v>
      </c>
      <c r="AB120" s="48">
        <v>2.3988092710813467</v>
      </c>
      <c r="AC120" s="48">
        <v>2.37415222259893</v>
      </c>
      <c r="AD120" s="46">
        <v>2.3534736782193804</v>
      </c>
      <c r="AE120" s="48">
        <v>2.3371815446315143</v>
      </c>
      <c r="AF120" s="48">
        <v>2.3257463228395858</v>
      </c>
      <c r="AG120" s="48">
        <v>2.316511090991249</v>
      </c>
      <c r="AH120" s="19">
        <v>2.3093510796179828</v>
      </c>
      <c r="AI120" s="48">
        <v>2.3032313749074622</v>
      </c>
      <c r="AJ120" s="48">
        <v>2.2981417689920258</v>
      </c>
      <c r="AK120" s="48">
        <v>2.2936413810618235</v>
      </c>
      <c r="AL120" s="48">
        <v>2.2894227574903949</v>
      </c>
      <c r="AM120" s="19">
        <v>2.2858614358934006</v>
      </c>
      <c r="AN120" s="49">
        <v>2.2858614358934006</v>
      </c>
    </row>
    <row r="121" spans="12:40" x14ac:dyDescent="0.35">
      <c r="L121" s="46"/>
      <c r="M121" s="47">
        <v>0.90000000000000058</v>
      </c>
      <c r="N121" s="46">
        <v>5.0154447392543311</v>
      </c>
      <c r="O121" s="46">
        <v>4.6826786637179234</v>
      </c>
      <c r="P121" s="48">
        <v>4.4412168936550298</v>
      </c>
      <c r="Q121" s="48">
        <v>4.2524522198593786</v>
      </c>
      <c r="R121" s="48">
        <v>3.9947972330691432</v>
      </c>
      <c r="S121" s="19">
        <v>3.8188369257421195</v>
      </c>
      <c r="T121" s="46">
        <v>3.6836849125713798</v>
      </c>
      <c r="U121" s="48">
        <v>3.5358984329784677</v>
      </c>
      <c r="V121" s="48">
        <v>3.369630751492513</v>
      </c>
      <c r="W121" s="48">
        <v>3.2178624944067842</v>
      </c>
      <c r="X121" s="19">
        <v>3.0785905440582173</v>
      </c>
      <c r="Y121" s="48">
        <v>2.9492065032670718</v>
      </c>
      <c r="Z121" s="48">
        <v>2.8335228088840072</v>
      </c>
      <c r="AA121" s="48">
        <v>2.7376943753523939</v>
      </c>
      <c r="AB121" s="48">
        <v>2.6570105527262466</v>
      </c>
      <c r="AC121" s="48">
        <v>2.5896878418828044</v>
      </c>
      <c r="AD121" s="46">
        <v>2.5366798458466087</v>
      </c>
      <c r="AE121" s="48">
        <v>2.4972043840588825</v>
      </c>
      <c r="AF121" s="48">
        <v>2.4687120170670078</v>
      </c>
      <c r="AG121" s="48">
        <v>2.4466484930030736</v>
      </c>
      <c r="AH121" s="19">
        <v>2.4297432453542784</v>
      </c>
      <c r="AI121" s="48">
        <v>2.4158781074808418</v>
      </c>
      <c r="AJ121" s="48">
        <v>2.4040042419690733</v>
      </c>
      <c r="AK121" s="48">
        <v>2.3940663297803635</v>
      </c>
      <c r="AL121" s="48">
        <v>2.3845870366730524</v>
      </c>
      <c r="AM121" s="19">
        <v>2.3770603302733209</v>
      </c>
      <c r="AN121" s="49">
        <v>2.3770603302733209</v>
      </c>
    </row>
    <row r="122" spans="12:40" x14ac:dyDescent="0.35">
      <c r="L122" s="46"/>
      <c r="M122" s="47">
        <v>0.99000000000000066</v>
      </c>
      <c r="N122" s="46">
        <v>18.673610940786698</v>
      </c>
      <c r="O122" s="46">
        <v>13.911068427900123</v>
      </c>
      <c r="P122" s="48">
        <v>11.744055192156413</v>
      </c>
      <c r="Q122" s="48">
        <v>10.395275181391497</v>
      </c>
      <c r="R122" s="48">
        <v>8.7210594810823796</v>
      </c>
      <c r="S122" s="19">
        <v>7.7494732742228578</v>
      </c>
      <c r="T122" s="46">
        <v>7.1078503224683676</v>
      </c>
      <c r="U122" s="48">
        <v>6.4363127400457758</v>
      </c>
      <c r="V122" s="48">
        <v>5.7243553978713635</v>
      </c>
      <c r="W122" s="48">
        <v>5.1261442283022234</v>
      </c>
      <c r="X122" s="19">
        <v>4.5992612711238392</v>
      </c>
      <c r="Y122" s="48">
        <v>4.1610417150602297</v>
      </c>
      <c r="Z122" s="48">
        <v>3.7851055688026003</v>
      </c>
      <c r="AA122" s="48">
        <v>3.4956786417780839</v>
      </c>
      <c r="AB122" s="48">
        <v>3.2621265392862187</v>
      </c>
      <c r="AC122" s="48">
        <v>3.0780169156608648</v>
      </c>
      <c r="AD122" s="46">
        <v>2.9404150995389418</v>
      </c>
      <c r="AE122" s="48">
        <v>2.8394144686651992</v>
      </c>
      <c r="AF122" s="48">
        <v>2.7699693936890237</v>
      </c>
      <c r="AG122" s="48">
        <v>2.7186516460390759</v>
      </c>
      <c r="AH122" s="19">
        <v>2.679476381132138</v>
      </c>
      <c r="AI122" s="48">
        <v>2.6473327979065036</v>
      </c>
      <c r="AJ122" s="48">
        <v>2.6197628699039619</v>
      </c>
      <c r="AK122" s="48">
        <v>2.596808534681418</v>
      </c>
      <c r="AL122" s="48">
        <v>2.5766822497662139</v>
      </c>
      <c r="AM122" s="19">
        <v>2.5580401576744372</v>
      </c>
      <c r="AN122" s="49">
        <v>2.5580401576744372</v>
      </c>
    </row>
    <row r="123" spans="12:40" x14ac:dyDescent="0.35">
      <c r="L123" s="50"/>
      <c r="M123" s="51">
        <v>0.999</v>
      </c>
      <c r="N123" s="50">
        <v>48.634573693456339</v>
      </c>
      <c r="O123" s="50">
        <v>32.272678217872581</v>
      </c>
      <c r="P123" s="52">
        <v>25.82888206759521</v>
      </c>
      <c r="Q123" s="52">
        <v>21.722261998654076</v>
      </c>
      <c r="R123" s="52">
        <v>17.212330816920584</v>
      </c>
      <c r="S123" s="30">
        <v>14.722825839647991</v>
      </c>
      <c r="T123" s="50">
        <v>13.087204799000046</v>
      </c>
      <c r="U123" s="52">
        <v>11.371073656259908</v>
      </c>
      <c r="V123" s="52">
        <v>9.5659193050864797</v>
      </c>
      <c r="W123" s="52">
        <v>8.1398581747842105</v>
      </c>
      <c r="X123" s="30">
        <v>6.9649126561150325</v>
      </c>
      <c r="Y123" s="52">
        <v>5.9284692385138102</v>
      </c>
      <c r="Z123" s="52">
        <v>5.1292178378930107</v>
      </c>
      <c r="AA123" s="52">
        <v>4.5090598992200919</v>
      </c>
      <c r="AB123" s="52">
        <v>4.0261007230726902</v>
      </c>
      <c r="AC123" s="52">
        <v>3.6762430736568379</v>
      </c>
      <c r="AD123" s="50">
        <v>3.417390729956495</v>
      </c>
      <c r="AE123" s="52">
        <v>3.2337619821661594</v>
      </c>
      <c r="AF123" s="52">
        <v>3.1026136914853026</v>
      </c>
      <c r="AG123" s="52">
        <v>3.0120136934554789</v>
      </c>
      <c r="AH123" s="30">
        <v>2.9412748196732541</v>
      </c>
      <c r="AI123" s="52">
        <v>2.8851511640009204</v>
      </c>
      <c r="AJ123" s="52">
        <v>2.8442429600214783</v>
      </c>
      <c r="AK123" s="52">
        <v>2.8026819030370365</v>
      </c>
      <c r="AL123" s="52">
        <v>2.7660473367560923</v>
      </c>
      <c r="AM123" s="30">
        <v>2.7351419798510253</v>
      </c>
      <c r="AN123" s="53">
        <v>2.7351419798510253</v>
      </c>
    </row>
    <row r="124" spans="12:40" x14ac:dyDescent="0.35">
      <c r="L124" s="41"/>
      <c r="M124" s="42">
        <v>1E-3</v>
      </c>
      <c r="N124" s="41">
        <v>9.4458711250728564E-3</v>
      </c>
      <c r="O124" s="41">
        <v>4.6328815447895771E-2</v>
      </c>
      <c r="P124" s="43">
        <v>9.326986775277353E-2</v>
      </c>
      <c r="Q124" s="43">
        <v>0.14337896489008817</v>
      </c>
      <c r="R124" s="43">
        <v>0.24597193710397069</v>
      </c>
      <c r="S124" s="44">
        <v>0.33175927440901309</v>
      </c>
      <c r="T124" s="41">
        <v>0.41159548835829579</v>
      </c>
      <c r="U124" s="43">
        <v>0.51705892399675302</v>
      </c>
      <c r="V124" s="43">
        <v>0.660688528241684</v>
      </c>
      <c r="W124" s="43">
        <v>0.81783002811378491</v>
      </c>
      <c r="X124" s="44">
        <v>0.99144120579749273</v>
      </c>
      <c r="Y124" s="43">
        <v>1.1695205017888288</v>
      </c>
      <c r="Z124" s="43">
        <v>1.3614260165186625</v>
      </c>
      <c r="AA124" s="43">
        <v>1.5402588303521445</v>
      </c>
      <c r="AB124" s="43">
        <v>1.7095832456151367</v>
      </c>
      <c r="AC124" s="43">
        <v>1.8568780869941797</v>
      </c>
      <c r="AD124" s="41">
        <v>1.9861271939272875</v>
      </c>
      <c r="AE124" s="43">
        <v>2.0960775337498658</v>
      </c>
      <c r="AF124" s="43">
        <v>2.1763199710526604</v>
      </c>
      <c r="AG124" s="43">
        <v>2.2335761523158042</v>
      </c>
      <c r="AH124" s="44">
        <v>2.2841639424636102</v>
      </c>
      <c r="AI124" s="43">
        <v>2.3288874776351043</v>
      </c>
      <c r="AJ124" s="43">
        <v>2.3622821974507131</v>
      </c>
      <c r="AK124" s="43">
        <v>2.3962229538773174</v>
      </c>
      <c r="AL124" s="43">
        <v>2.4258203823028848</v>
      </c>
      <c r="AM124" s="44">
        <v>2.4514523452022376</v>
      </c>
      <c r="AN124" s="45">
        <v>2.4514523452022376</v>
      </c>
    </row>
    <row r="125" spans="12:40" x14ac:dyDescent="0.35">
      <c r="L125" s="46"/>
      <c r="M125" s="47">
        <v>0.01</v>
      </c>
      <c r="N125" s="46">
        <v>2.9435138909333622E-2</v>
      </c>
      <c r="O125" s="46">
        <v>0.10713461660531613</v>
      </c>
      <c r="P125" s="48">
        <v>0.18996363294025878</v>
      </c>
      <c r="Q125" s="48">
        <v>0.27005230267170549</v>
      </c>
      <c r="R125" s="48">
        <v>0.41021482646536711</v>
      </c>
      <c r="S125" s="19">
        <v>0.52669684965149532</v>
      </c>
      <c r="T125" s="46">
        <v>0.62458062126449776</v>
      </c>
      <c r="U125" s="48">
        <v>0.74820018259345222</v>
      </c>
      <c r="V125" s="48">
        <v>0.909976145501601</v>
      </c>
      <c r="W125" s="48">
        <v>1.0829605983536692</v>
      </c>
      <c r="X125" s="19">
        <v>1.2588904330921251</v>
      </c>
      <c r="Y125" s="48">
        <v>1.4435658994552667</v>
      </c>
      <c r="Z125" s="48">
        <v>1.6292087228742929</v>
      </c>
      <c r="AA125" s="48">
        <v>1.796437391116851</v>
      </c>
      <c r="AB125" s="48">
        <v>1.9499388466332999</v>
      </c>
      <c r="AC125" s="48">
        <v>2.0860036906515473</v>
      </c>
      <c r="AD125" s="46">
        <v>2.2013686914776129</v>
      </c>
      <c r="AE125" s="48">
        <v>2.2952593678413784</v>
      </c>
      <c r="AF125" s="48">
        <v>2.3628660372581436</v>
      </c>
      <c r="AG125" s="48">
        <v>2.4149909666038076</v>
      </c>
      <c r="AH125" s="19">
        <v>2.4576538215250885</v>
      </c>
      <c r="AI125" s="48">
        <v>2.4952453962610761</v>
      </c>
      <c r="AJ125" s="48">
        <v>2.5245624181409538</v>
      </c>
      <c r="AK125" s="48">
        <v>2.5507211173139801</v>
      </c>
      <c r="AL125" s="48">
        <v>2.5748525020516557</v>
      </c>
      <c r="AM125" s="19">
        <v>2.5975480267170661</v>
      </c>
      <c r="AN125" s="49">
        <v>2.5975480267170661</v>
      </c>
    </row>
    <row r="126" spans="12:40" x14ac:dyDescent="0.35">
      <c r="L126" s="46"/>
      <c r="M126" s="47">
        <v>9.9999999999999992E-2</v>
      </c>
      <c r="N126" s="46">
        <v>0.14310874006301957</v>
      </c>
      <c r="O126" s="46">
        <v>0.34465019847897477</v>
      </c>
      <c r="P126" s="48">
        <v>0.50869362015441755</v>
      </c>
      <c r="Q126" s="48">
        <v>0.64241455864796249</v>
      </c>
      <c r="R126" s="48">
        <v>0.84850644901096628</v>
      </c>
      <c r="S126" s="19">
        <v>1.0011890813741968</v>
      </c>
      <c r="T126" s="46">
        <v>1.1229278496138626</v>
      </c>
      <c r="U126" s="48">
        <v>1.2657755643906972</v>
      </c>
      <c r="V126" s="48">
        <v>1.4422131948661014</v>
      </c>
      <c r="W126" s="48">
        <v>1.6151878979175467</v>
      </c>
      <c r="X126" s="19">
        <v>1.7808242521476694</v>
      </c>
      <c r="Y126" s="48">
        <v>1.946647187307647</v>
      </c>
      <c r="Z126" s="48">
        <v>2.1025637119861416</v>
      </c>
      <c r="AA126" s="48">
        <v>2.2383032383483443</v>
      </c>
      <c r="AB126" s="48">
        <v>2.3582158776490152</v>
      </c>
      <c r="AC126" s="48">
        <v>2.4600992964524799</v>
      </c>
      <c r="AD126" s="46">
        <v>2.5434206635952088</v>
      </c>
      <c r="AE126" s="48">
        <v>2.6097471255040259</v>
      </c>
      <c r="AF126" s="48">
        <v>2.658437234769695</v>
      </c>
      <c r="AG126" s="48">
        <v>2.695234746648234</v>
      </c>
      <c r="AH126" s="19">
        <v>2.725041710663124</v>
      </c>
      <c r="AI126" s="48">
        <v>2.749559132689483</v>
      </c>
      <c r="AJ126" s="48">
        <v>2.7695882488447139</v>
      </c>
      <c r="AK126" s="48">
        <v>2.7875942981621327</v>
      </c>
      <c r="AL126" s="48">
        <v>2.803777760287951</v>
      </c>
      <c r="AM126" s="19">
        <v>2.8184113924068317</v>
      </c>
      <c r="AN126" s="49">
        <v>2.8184113924068317</v>
      </c>
    </row>
    <row r="127" spans="12:40" x14ac:dyDescent="0.35">
      <c r="L127" s="46"/>
      <c r="M127" s="47">
        <v>0.25000000000000006</v>
      </c>
      <c r="N127" s="46">
        <v>0.35955606771375959</v>
      </c>
      <c r="O127" s="46">
        <v>0.68513442949003067</v>
      </c>
      <c r="P127" s="48">
        <v>0.90992171091638996</v>
      </c>
      <c r="Q127" s="48">
        <v>1.0752229683745718</v>
      </c>
      <c r="R127" s="48">
        <v>1.3125090341916619</v>
      </c>
      <c r="S127" s="19">
        <v>1.4764465450122279</v>
      </c>
      <c r="T127" s="46">
        <v>1.5995256702913174</v>
      </c>
      <c r="U127" s="48">
        <v>1.739886305396158</v>
      </c>
      <c r="V127" s="48">
        <v>1.9043352302313414</v>
      </c>
      <c r="W127" s="48">
        <v>2.0587000522748564</v>
      </c>
      <c r="X127" s="19">
        <v>2.2013052614381707</v>
      </c>
      <c r="Y127" s="48">
        <v>2.3364439758282973</v>
      </c>
      <c r="Z127" s="48">
        <v>2.4596009324214521</v>
      </c>
      <c r="AA127" s="48">
        <v>2.5615382228347334</v>
      </c>
      <c r="AB127" s="48">
        <v>2.6493621036529356</v>
      </c>
      <c r="AC127" s="48">
        <v>2.7219858578524607</v>
      </c>
      <c r="AD127" s="46">
        <v>2.7806302809303913</v>
      </c>
      <c r="AE127" s="48">
        <v>2.8260373324847574</v>
      </c>
      <c r="AF127" s="48">
        <v>2.8583990582139389</v>
      </c>
      <c r="AG127" s="48">
        <v>2.8828225924305588</v>
      </c>
      <c r="AH127" s="19">
        <v>2.9024768751924452</v>
      </c>
      <c r="AI127" s="48">
        <v>2.9179809129718226</v>
      </c>
      <c r="AJ127" s="48">
        <v>2.9312643106778742</v>
      </c>
      <c r="AK127" s="48">
        <v>2.9425502873797247</v>
      </c>
      <c r="AL127" s="48">
        <v>2.9528328820884555</v>
      </c>
      <c r="AM127" s="19">
        <v>2.9623201488019046</v>
      </c>
      <c r="AN127" s="49">
        <v>2.9623201488019046</v>
      </c>
    </row>
    <row r="128" spans="12:40" x14ac:dyDescent="0.35">
      <c r="L128" s="46">
        <f>M35</f>
        <v>7</v>
      </c>
      <c r="M128" s="47">
        <v>0.50000000000000022</v>
      </c>
      <c r="N128" s="46">
        <v>1.0003993668393398</v>
      </c>
      <c r="O128" s="46">
        <v>1.488955701269548</v>
      </c>
      <c r="P128" s="48">
        <v>1.7644160894283458</v>
      </c>
      <c r="Q128" s="48">
        <v>1.9436238979723275</v>
      </c>
      <c r="R128" s="48">
        <v>2.1709115378486876</v>
      </c>
      <c r="S128" s="19">
        <v>2.3163459281211454</v>
      </c>
      <c r="T128" s="46">
        <v>2.4162476472662973</v>
      </c>
      <c r="U128" s="48">
        <v>2.5231144470913787</v>
      </c>
      <c r="V128" s="48">
        <v>2.6384472640168362</v>
      </c>
      <c r="W128" s="48">
        <v>2.7394774580991639</v>
      </c>
      <c r="X128" s="19">
        <v>2.8222555126665547</v>
      </c>
      <c r="Y128" s="48">
        <v>2.8948201455988718</v>
      </c>
      <c r="Z128" s="48">
        <v>2.9571066267037249</v>
      </c>
      <c r="AA128" s="48">
        <v>3.0036682555590426</v>
      </c>
      <c r="AB128" s="48">
        <v>3.0390097156743927</v>
      </c>
      <c r="AC128" s="48">
        <v>3.0663837119451278</v>
      </c>
      <c r="AD128" s="46">
        <v>3.0870572750309067</v>
      </c>
      <c r="AE128" s="48">
        <v>3.1012232942562652</v>
      </c>
      <c r="AF128" s="48">
        <v>3.1107538367420826</v>
      </c>
      <c r="AG128" s="48">
        <v>3.1180313457137911</v>
      </c>
      <c r="AH128" s="19">
        <v>3.1232572140791932</v>
      </c>
      <c r="AI128" s="48">
        <v>3.1274116759775756</v>
      </c>
      <c r="AJ128" s="48">
        <v>3.131177013543585</v>
      </c>
      <c r="AK128" s="48">
        <v>3.134063851422316</v>
      </c>
      <c r="AL128" s="48">
        <v>3.1361802207258984</v>
      </c>
      <c r="AM128" s="19">
        <v>3.1382931160448164</v>
      </c>
      <c r="AN128" s="49">
        <v>3.1382931160448164</v>
      </c>
    </row>
    <row r="129" spans="12:40" x14ac:dyDescent="0.35">
      <c r="L129" s="46"/>
      <c r="M129" s="47">
        <v>0.75000000000000044</v>
      </c>
      <c r="N129" s="46">
        <v>2.7847677573641971</v>
      </c>
      <c r="O129" s="46">
        <v>3.3073351738084629</v>
      </c>
      <c r="P129" s="48">
        <v>3.5065157925341768</v>
      </c>
      <c r="Q129" s="48">
        <v>3.6060804562279118</v>
      </c>
      <c r="R129" s="48">
        <v>3.6994883485500152</v>
      </c>
      <c r="S129" s="19">
        <v>3.743292526141929</v>
      </c>
      <c r="T129" s="46">
        <v>3.7568716051816478</v>
      </c>
      <c r="U129" s="48">
        <v>3.7594904349879292</v>
      </c>
      <c r="V129" s="48">
        <v>3.7485310659259468</v>
      </c>
      <c r="W129" s="48">
        <v>3.7276331201775292</v>
      </c>
      <c r="X129" s="19">
        <v>3.6960288007217881</v>
      </c>
      <c r="Y129" s="48">
        <v>3.6567492792973684</v>
      </c>
      <c r="Z129" s="48">
        <v>3.6127871915279446</v>
      </c>
      <c r="AA129" s="48">
        <v>3.5698138228267218</v>
      </c>
      <c r="AB129" s="48">
        <v>3.5256412759835141</v>
      </c>
      <c r="AC129" s="48">
        <v>3.4880972312930281</v>
      </c>
      <c r="AD129" s="46">
        <v>3.4547393002352411</v>
      </c>
      <c r="AE129" s="48">
        <v>3.4279000839445906</v>
      </c>
      <c r="AF129" s="48">
        <v>3.4077786862563375</v>
      </c>
      <c r="AG129" s="48">
        <v>3.3925723109329846</v>
      </c>
      <c r="AH129" s="19">
        <v>3.3800411415984239</v>
      </c>
      <c r="AI129" s="48">
        <v>3.3688416151932601</v>
      </c>
      <c r="AJ129" s="48">
        <v>3.3598722456543517</v>
      </c>
      <c r="AK129" s="48">
        <v>3.3515284013678577</v>
      </c>
      <c r="AL129" s="48">
        <v>3.3444341496754699</v>
      </c>
      <c r="AM129" s="19">
        <v>3.3377103770553656</v>
      </c>
      <c r="AN129" s="49">
        <v>3.3377103770553656</v>
      </c>
    </row>
    <row r="130" spans="12:40" x14ac:dyDescent="0.35">
      <c r="L130" s="46"/>
      <c r="M130" s="47">
        <v>0.90000000000000058</v>
      </c>
      <c r="N130" s="46">
        <v>7.0261515397968131</v>
      </c>
      <c r="O130" s="46">
        <v>6.9245981586522989</v>
      </c>
      <c r="P130" s="48">
        <v>6.7215137536936691</v>
      </c>
      <c r="Q130" s="48">
        <v>6.5217864150140752</v>
      </c>
      <c r="R130" s="48">
        <v>6.2053145946541166</v>
      </c>
      <c r="S130" s="19">
        <v>5.9772669018386582</v>
      </c>
      <c r="T130" s="46">
        <v>5.7904771922576037</v>
      </c>
      <c r="U130" s="48">
        <v>5.5793012625807759</v>
      </c>
      <c r="V130" s="48">
        <v>5.320941430686509</v>
      </c>
      <c r="W130" s="48">
        <v>5.0836800326503546</v>
      </c>
      <c r="X130" s="19">
        <v>4.8479035806163244</v>
      </c>
      <c r="Y130" s="48">
        <v>4.626134688273944</v>
      </c>
      <c r="Z130" s="48">
        <v>4.4224234596872796</v>
      </c>
      <c r="AA130" s="48">
        <v>4.2489108582529003</v>
      </c>
      <c r="AB130" s="48">
        <v>4.0979671328910685</v>
      </c>
      <c r="AC130" s="48">
        <v>3.968659491546302</v>
      </c>
      <c r="AD130" s="46">
        <v>3.8659889884741006</v>
      </c>
      <c r="AE130" s="48">
        <v>3.7884176741093176</v>
      </c>
      <c r="AF130" s="48">
        <v>3.7323253854010461</v>
      </c>
      <c r="AG130" s="48">
        <v>3.6881473962637852</v>
      </c>
      <c r="AH130" s="19">
        <v>3.6539540033582565</v>
      </c>
      <c r="AI130" s="48">
        <v>3.6251023301705301</v>
      </c>
      <c r="AJ130" s="48">
        <v>3.6013827465430071</v>
      </c>
      <c r="AK130" s="48">
        <v>3.5805441303348537</v>
      </c>
      <c r="AL130" s="48">
        <v>3.5611816179287015</v>
      </c>
      <c r="AM130" s="19">
        <v>3.5453424676984233</v>
      </c>
      <c r="AN130" s="49">
        <v>3.5453424676984233</v>
      </c>
    </row>
    <row r="131" spans="12:40" x14ac:dyDescent="0.35">
      <c r="L131" s="46"/>
      <c r="M131" s="47">
        <v>0.99000000000000066</v>
      </c>
      <c r="N131" s="46">
        <v>34.434499999127226</v>
      </c>
      <c r="O131" s="46">
        <v>26.681358183037421</v>
      </c>
      <c r="P131" s="48">
        <v>22.801708517633518</v>
      </c>
      <c r="Q131" s="48">
        <v>20.36969747758824</v>
      </c>
      <c r="R131" s="48">
        <v>17.182891295720324</v>
      </c>
      <c r="S131" s="19">
        <v>15.325669432096587</v>
      </c>
      <c r="T131" s="46">
        <v>14.020184160327116</v>
      </c>
      <c r="U131" s="48">
        <v>12.683630066906588</v>
      </c>
      <c r="V131" s="48">
        <v>11.14396015885805</v>
      </c>
      <c r="W131" s="48">
        <v>9.9028850204581715</v>
      </c>
      <c r="X131" s="19">
        <v>8.7696295606917332</v>
      </c>
      <c r="Y131" s="48">
        <v>7.8001440134919307</v>
      </c>
      <c r="Z131" s="48">
        <v>6.9545081590702136</v>
      </c>
      <c r="AA131" s="48">
        <v>6.2763032271102643</v>
      </c>
      <c r="AB131" s="48">
        <v>5.7295531070488233</v>
      </c>
      <c r="AC131" s="48">
        <v>5.2972518592177114</v>
      </c>
      <c r="AD131" s="46">
        <v>4.9616633790690097</v>
      </c>
      <c r="AE131" s="48">
        <v>4.7180714870139466</v>
      </c>
      <c r="AF131" s="48">
        <v>4.5485661901176302</v>
      </c>
      <c r="AG131" s="48">
        <v>4.4182671034039256</v>
      </c>
      <c r="AH131" s="19">
        <v>4.3228716925127033</v>
      </c>
      <c r="AI131" s="48">
        <v>4.2429125516521013</v>
      </c>
      <c r="AJ131" s="48">
        <v>4.17533520944676</v>
      </c>
      <c r="AK131" s="48">
        <v>4.1229668212044199</v>
      </c>
      <c r="AL131" s="48">
        <v>4.0704730981518189</v>
      </c>
      <c r="AM131" s="19">
        <v>4.0278689925657725</v>
      </c>
      <c r="AN131" s="49">
        <v>4.0278689925657725</v>
      </c>
    </row>
    <row r="132" spans="12:40" x14ac:dyDescent="0.35">
      <c r="L132" s="50"/>
      <c r="M132" s="51">
        <v>0.999</v>
      </c>
      <c r="N132" s="50">
        <v>109.55221352999676</v>
      </c>
      <c r="O132" s="50">
        <v>75.180889397716498</v>
      </c>
      <c r="P132" s="52">
        <v>61.404879610207516</v>
      </c>
      <c r="Q132" s="52">
        <v>52.242462881455033</v>
      </c>
      <c r="R132" s="52">
        <v>41.69212750231447</v>
      </c>
      <c r="S132" s="30">
        <v>35.798862529463079</v>
      </c>
      <c r="T132" s="50">
        <v>31.966303660234619</v>
      </c>
      <c r="U132" s="52">
        <v>27.655208076844847</v>
      </c>
      <c r="V132" s="52">
        <v>23.182796366158115</v>
      </c>
      <c r="W132" s="52">
        <v>19.697581665999667</v>
      </c>
      <c r="X132" s="30">
        <v>16.47730551986476</v>
      </c>
      <c r="Y132" s="52">
        <v>13.707575614043831</v>
      </c>
      <c r="Z132" s="52">
        <v>11.551087861710499</v>
      </c>
      <c r="AA132" s="52">
        <v>9.8873791643936944</v>
      </c>
      <c r="AB132" s="52">
        <v>8.5121493829058679</v>
      </c>
      <c r="AC132" s="52">
        <v>7.4744750049813851</v>
      </c>
      <c r="AD132" s="50">
        <v>6.7111637406646363</v>
      </c>
      <c r="AE132" s="52">
        <v>6.1774015870803316</v>
      </c>
      <c r="AF132" s="52">
        <v>5.7923819418398352</v>
      </c>
      <c r="AG132" s="52">
        <v>5.506884322258057</v>
      </c>
      <c r="AH132" s="30">
        <v>5.2921556609644655</v>
      </c>
      <c r="AI132" s="52">
        <v>5.1434104207163003</v>
      </c>
      <c r="AJ132" s="52">
        <v>5.0168755820397974</v>
      </c>
      <c r="AK132" s="52">
        <v>4.8874675904027187</v>
      </c>
      <c r="AL132" s="52">
        <v>4.7781500348337262</v>
      </c>
      <c r="AM132" s="30">
        <v>4.6829457396621672</v>
      </c>
      <c r="AN132" s="53">
        <v>4.6829457396621672</v>
      </c>
    </row>
    <row r="133" spans="12:40" x14ac:dyDescent="0.35">
      <c r="L133" s="46"/>
      <c r="M133" s="47">
        <v>1E-3</v>
      </c>
      <c r="N133" s="46">
        <v>4.018969263164294E-3</v>
      </c>
      <c r="O133" s="46">
        <v>2.6912185941016603E-2</v>
      </c>
      <c r="P133" s="48">
        <v>6.2931093763794785E-2</v>
      </c>
      <c r="Q133" s="48">
        <v>0.10522393510730298</v>
      </c>
      <c r="R133" s="48">
        <v>0.20082074676294204</v>
      </c>
      <c r="S133" s="19">
        <v>0.28907873084999702</v>
      </c>
      <c r="T133" s="46">
        <v>0.37612593743106915</v>
      </c>
      <c r="U133" s="48">
        <v>0.49650326933631028</v>
      </c>
      <c r="V133" s="48">
        <v>0.66753660765866019</v>
      </c>
      <c r="W133" s="48">
        <v>0.87100518542921535</v>
      </c>
      <c r="X133" s="19">
        <v>1.1015287854702029</v>
      </c>
      <c r="Y133" s="48">
        <v>1.3560378064470815</v>
      </c>
      <c r="Z133" s="48">
        <v>1.6385288858880447</v>
      </c>
      <c r="AA133" s="48">
        <v>1.9152136528373258</v>
      </c>
      <c r="AB133" s="48">
        <v>2.1857624862222229</v>
      </c>
      <c r="AC133" s="48">
        <v>2.4306025604470474</v>
      </c>
      <c r="AD133" s="46">
        <v>2.6474589222986267</v>
      </c>
      <c r="AE133" s="48">
        <v>2.8416605230317993</v>
      </c>
      <c r="AF133" s="48">
        <v>2.9841793326231278</v>
      </c>
      <c r="AG133" s="48">
        <v>3.0870880969981678</v>
      </c>
      <c r="AH133" s="19">
        <v>3.1804560754648605</v>
      </c>
      <c r="AI133" s="48">
        <v>3.2619210119166113</v>
      </c>
      <c r="AJ133" s="48">
        <v>3.3250206701581448</v>
      </c>
      <c r="AK133" s="48">
        <v>3.3863187828894996</v>
      </c>
      <c r="AL133" s="48">
        <v>3.4473969008971057</v>
      </c>
      <c r="AM133" s="19">
        <v>3.4926889931623544</v>
      </c>
      <c r="AN133" s="49">
        <v>3.4926889931623544</v>
      </c>
    </row>
    <row r="134" spans="12:40" x14ac:dyDescent="0.35">
      <c r="L134" s="46"/>
      <c r="M134" s="47">
        <v>0.01</v>
      </c>
      <c r="N134" s="46">
        <v>1.5424724518585713E-2</v>
      </c>
      <c r="O134" s="46">
        <v>7.2999671323502074E-2</v>
      </c>
      <c r="P134" s="48">
        <v>0.14572718878133678</v>
      </c>
      <c r="Q134" s="48">
        <v>0.22271959165953706</v>
      </c>
      <c r="R134" s="48">
        <v>0.37154348392383157</v>
      </c>
      <c r="S134" s="19">
        <v>0.50441026657954124</v>
      </c>
      <c r="T134" s="46">
        <v>0.62073740377841635</v>
      </c>
      <c r="U134" s="48">
        <v>0.77476877447247539</v>
      </c>
      <c r="V134" s="48">
        <v>0.98769693449512475</v>
      </c>
      <c r="W134" s="48">
        <v>1.2257103951876462</v>
      </c>
      <c r="X134" s="19">
        <v>1.4809710507941838</v>
      </c>
      <c r="Y134" s="48">
        <v>1.7597217815785609</v>
      </c>
      <c r="Z134" s="48">
        <v>2.0514735838775198</v>
      </c>
      <c r="AA134" s="48">
        <v>2.3228340020337015</v>
      </c>
      <c r="AB134" s="48">
        <v>2.5827801767668888</v>
      </c>
      <c r="AC134" s="48">
        <v>2.8193879465935181</v>
      </c>
      <c r="AD134" s="46">
        <v>3.0260159117845848</v>
      </c>
      <c r="AE134" s="48">
        <v>3.1977232481875841</v>
      </c>
      <c r="AF134" s="48">
        <v>3.3225212524102625</v>
      </c>
      <c r="AG134" s="48">
        <v>3.4205524828545077</v>
      </c>
      <c r="AH134" s="19">
        <v>3.5036322845351577</v>
      </c>
      <c r="AI134" s="48">
        <v>3.5745989993358149</v>
      </c>
      <c r="AJ134" s="48">
        <v>3.6324052682497756</v>
      </c>
      <c r="AK134" s="48">
        <v>3.6827209923706774</v>
      </c>
      <c r="AL134" s="48">
        <v>3.7307184598504217</v>
      </c>
      <c r="AM134" s="19">
        <v>3.7757996940297036</v>
      </c>
      <c r="AN134" s="49">
        <v>3.7757996940297036</v>
      </c>
    </row>
    <row r="135" spans="12:40" x14ac:dyDescent="0.35">
      <c r="L135" s="46"/>
      <c r="M135" s="47">
        <v>9.9999999999999992E-2</v>
      </c>
      <c r="N135" s="46">
        <v>0.10020843316282493</v>
      </c>
      <c r="O135" s="46">
        <v>0.29278947647772791</v>
      </c>
      <c r="P135" s="48">
        <v>0.47286745055466944</v>
      </c>
      <c r="Q135" s="48">
        <v>0.63045885516357014</v>
      </c>
      <c r="R135" s="48">
        <v>0.89050259431546996</v>
      </c>
      <c r="S135" s="19">
        <v>1.0957238421810163</v>
      </c>
      <c r="T135" s="46">
        <v>1.2651756574534763</v>
      </c>
      <c r="U135" s="48">
        <v>1.4724389833046239</v>
      </c>
      <c r="V135" s="48">
        <v>1.7374135972437474</v>
      </c>
      <c r="W135" s="48">
        <v>2.0086891127032254</v>
      </c>
      <c r="X135" s="19">
        <v>2.2791008774342703</v>
      </c>
      <c r="Y135" s="48">
        <v>2.5583289071468855</v>
      </c>
      <c r="Z135" s="48">
        <v>2.8315603586422906</v>
      </c>
      <c r="AA135" s="48">
        <v>3.0756597561394154</v>
      </c>
      <c r="AB135" s="48">
        <v>3.2988380688293972</v>
      </c>
      <c r="AC135" s="48">
        <v>3.493850344433965</v>
      </c>
      <c r="AD135" s="46">
        <v>3.6567508880991237</v>
      </c>
      <c r="AE135" s="48">
        <v>3.7896687357467376</v>
      </c>
      <c r="AF135" s="48">
        <v>3.887396368089592</v>
      </c>
      <c r="AG135" s="48">
        <v>3.9629748077429339</v>
      </c>
      <c r="AH135" s="19">
        <v>4.0246144419190868</v>
      </c>
      <c r="AI135" s="48">
        <v>4.0745649313810599</v>
      </c>
      <c r="AJ135" s="48">
        <v>4.1171483418062111</v>
      </c>
      <c r="AK135" s="48">
        <v>4.154627471373602</v>
      </c>
      <c r="AL135" s="48">
        <v>4.18924885399628</v>
      </c>
      <c r="AM135" s="19">
        <v>4.2200559835426006</v>
      </c>
      <c r="AN135" s="49">
        <v>4.2200559835426006</v>
      </c>
    </row>
    <row r="136" spans="12:40" x14ac:dyDescent="0.35">
      <c r="L136" s="46"/>
      <c r="M136" s="47">
        <v>0.25000000000000006</v>
      </c>
      <c r="N136" s="46">
        <v>0.29808561272854289</v>
      </c>
      <c r="O136" s="46">
        <v>0.66377662087849765</v>
      </c>
      <c r="P136" s="48">
        <v>0.94803965832977555</v>
      </c>
      <c r="Q136" s="48">
        <v>1.1714393734394917</v>
      </c>
      <c r="R136" s="48">
        <v>1.5111613355572648</v>
      </c>
      <c r="S136" s="19">
        <v>1.7578978224988233</v>
      </c>
      <c r="T136" s="46">
        <v>1.9503787788798947</v>
      </c>
      <c r="U136" s="48">
        <v>2.1770992212774329</v>
      </c>
      <c r="V136" s="48">
        <v>2.452157806861476</v>
      </c>
      <c r="W136" s="48">
        <v>2.7201350626506979</v>
      </c>
      <c r="X136" s="19">
        <v>2.9756354125885283</v>
      </c>
      <c r="Y136" s="48">
        <v>3.2273183810033981</v>
      </c>
      <c r="Z136" s="48">
        <v>3.4641080062193277</v>
      </c>
      <c r="AA136" s="48">
        <v>3.6650172672098442</v>
      </c>
      <c r="AB136" s="48">
        <v>3.8445418698333826</v>
      </c>
      <c r="AC136" s="48">
        <v>3.9956971605412184</v>
      </c>
      <c r="AD136" s="46">
        <v>4.1205213002514398</v>
      </c>
      <c r="AE136" s="48">
        <v>4.218471895680878</v>
      </c>
      <c r="AF136" s="48">
        <v>4.2892158900258917</v>
      </c>
      <c r="AG136" s="48">
        <v>4.344021813225166</v>
      </c>
      <c r="AH136" s="19">
        <v>4.3869671060368161</v>
      </c>
      <c r="AI136" s="48">
        <v>4.4225528462885002</v>
      </c>
      <c r="AJ136" s="48">
        <v>4.4522265289678842</v>
      </c>
      <c r="AK136" s="48">
        <v>4.4778719809144985</v>
      </c>
      <c r="AL136" s="48">
        <v>4.501832741112227</v>
      </c>
      <c r="AM136" s="19">
        <v>4.5238006100792463</v>
      </c>
      <c r="AN136" s="49">
        <v>4.5238006100792463</v>
      </c>
    </row>
    <row r="137" spans="12:40" x14ac:dyDescent="0.35">
      <c r="L137" s="46">
        <f>M36</f>
        <v>10</v>
      </c>
      <c r="M137" s="47">
        <v>0.50000000000000022</v>
      </c>
      <c r="N137" s="46">
        <v>1.000472585945152</v>
      </c>
      <c r="O137" s="46">
        <v>1.6770637186879807</v>
      </c>
      <c r="P137" s="48">
        <v>2.1021171692139502</v>
      </c>
      <c r="Q137" s="48">
        <v>2.3957395935082184</v>
      </c>
      <c r="R137" s="48">
        <v>2.7910833428525912</v>
      </c>
      <c r="S137" s="19">
        <v>3.0551678479945235</v>
      </c>
      <c r="T137" s="46">
        <v>3.2462338124393062</v>
      </c>
      <c r="U137" s="48">
        <v>3.4577868664733593</v>
      </c>
      <c r="V137" s="48">
        <v>3.6915400415075692</v>
      </c>
      <c r="W137" s="48">
        <v>3.9052993856073592</v>
      </c>
      <c r="X137" s="19">
        <v>4.090566347189375</v>
      </c>
      <c r="Y137" s="48">
        <v>4.2592327587403878</v>
      </c>
      <c r="Z137" s="48">
        <v>4.4089319347443858</v>
      </c>
      <c r="AA137" s="48">
        <v>4.5275254227352182</v>
      </c>
      <c r="AB137" s="48">
        <v>4.621847096175383</v>
      </c>
      <c r="AC137" s="48">
        <v>4.6966728804436499</v>
      </c>
      <c r="AD137" s="46">
        <v>4.754979214326772</v>
      </c>
      <c r="AE137" s="48">
        <v>4.7968737779950912</v>
      </c>
      <c r="AF137" s="48">
        <v>4.8256618092503816</v>
      </c>
      <c r="AG137" s="48">
        <v>4.8475767374909102</v>
      </c>
      <c r="AH137" s="19">
        <v>4.8637950767217877</v>
      </c>
      <c r="AI137" s="48">
        <v>4.8770730124882595</v>
      </c>
      <c r="AJ137" s="48">
        <v>4.8883111710050295</v>
      </c>
      <c r="AK137" s="48">
        <v>4.8978897743968357</v>
      </c>
      <c r="AL137" s="48">
        <v>4.9050037269454867</v>
      </c>
      <c r="AM137" s="19">
        <v>4.9127367015056533</v>
      </c>
      <c r="AN137" s="49">
        <v>4.9127367015056533</v>
      </c>
    </row>
    <row r="138" spans="12:40" x14ac:dyDescent="0.35">
      <c r="L138" s="46"/>
      <c r="M138" s="47">
        <v>0.75000000000000044</v>
      </c>
      <c r="N138" s="46">
        <v>3.3598232281311766</v>
      </c>
      <c r="O138" s="46">
        <v>4.362682983657221</v>
      </c>
      <c r="P138" s="48">
        <v>4.8215370608282706</v>
      </c>
      <c r="Q138" s="48">
        <v>5.0862348544920248</v>
      </c>
      <c r="R138" s="48">
        <v>5.3763675499181236</v>
      </c>
      <c r="S138" s="19">
        <v>5.5461874228235182</v>
      </c>
      <c r="T138" s="46">
        <v>5.637131403554366</v>
      </c>
      <c r="U138" s="48">
        <v>5.718288561872769</v>
      </c>
      <c r="V138" s="48">
        <v>5.7815106900841853</v>
      </c>
      <c r="W138" s="48">
        <v>5.8148782334710329</v>
      </c>
      <c r="X138" s="19">
        <v>5.821437469031336</v>
      </c>
      <c r="Y138" s="48">
        <v>5.8093713073535547</v>
      </c>
      <c r="Z138" s="48">
        <v>5.7754949156127138</v>
      </c>
      <c r="AA138" s="48">
        <v>5.7312367924220036</v>
      </c>
      <c r="AB138" s="48">
        <v>5.676688210479675</v>
      </c>
      <c r="AC138" s="48">
        <v>5.6270987852156242</v>
      </c>
      <c r="AD138" s="46">
        <v>5.5790151578096516</v>
      </c>
      <c r="AE138" s="48">
        <v>5.5355504866024825</v>
      </c>
      <c r="AF138" s="48">
        <v>5.5039371175368572</v>
      </c>
      <c r="AG138" s="48">
        <v>5.4788079034209227</v>
      </c>
      <c r="AH138" s="19">
        <v>5.4578626940780008</v>
      </c>
      <c r="AI138" s="48">
        <v>5.4391761606518134</v>
      </c>
      <c r="AJ138" s="48">
        <v>5.4234891989005973</v>
      </c>
      <c r="AK138" s="48">
        <v>5.4088283288748551</v>
      </c>
      <c r="AL138" s="48">
        <v>5.3951977401978546</v>
      </c>
      <c r="AM138" s="19">
        <v>5.3836401356911576</v>
      </c>
      <c r="AN138" s="49">
        <v>5.3836401356911576</v>
      </c>
    </row>
    <row r="139" spans="12:40" x14ac:dyDescent="0.35">
      <c r="L139" s="46"/>
      <c r="M139" s="47">
        <v>0.90000000000000058</v>
      </c>
      <c r="N139" s="46">
        <v>10.044222231287007</v>
      </c>
      <c r="O139" s="46">
        <v>10.597053135689862</v>
      </c>
      <c r="P139" s="48">
        <v>10.624843829874511</v>
      </c>
      <c r="Q139" s="48">
        <v>10.520455400917832</v>
      </c>
      <c r="R139" s="48">
        <v>10.228854227915297</v>
      </c>
      <c r="S139" s="19">
        <v>9.9853066031451405</v>
      </c>
      <c r="T139" s="46">
        <v>9.7647595289802496</v>
      </c>
      <c r="U139" s="48">
        <v>9.4837008709222008</v>
      </c>
      <c r="V139" s="48">
        <v>9.1199756638066916</v>
      </c>
      <c r="W139" s="48">
        <v>8.7736503848371079</v>
      </c>
      <c r="X139" s="19">
        <v>8.3905512844454506</v>
      </c>
      <c r="Y139" s="48">
        <v>8.0186457459706695</v>
      </c>
      <c r="Z139" s="48">
        <v>7.6612184580996701</v>
      </c>
      <c r="AA139" s="48">
        <v>7.3441973707261603</v>
      </c>
      <c r="AB139" s="48">
        <v>7.0552047084323286</v>
      </c>
      <c r="AC139" s="48">
        <v>6.8046486921088718</v>
      </c>
      <c r="AD139" s="46">
        <v>6.597817000925601</v>
      </c>
      <c r="AE139" s="48">
        <v>6.437687145248999</v>
      </c>
      <c r="AF139" s="48">
        <v>6.3218894699311692</v>
      </c>
      <c r="AG139" s="48">
        <v>6.2301200139330462</v>
      </c>
      <c r="AH139" s="19">
        <v>6.1564487241442958</v>
      </c>
      <c r="AI139" s="48">
        <v>6.0954757905282966</v>
      </c>
      <c r="AJ139" s="48">
        <v>6.0429386467111623</v>
      </c>
      <c r="AK139" s="48">
        <v>5.9972174007157051</v>
      </c>
      <c r="AL139" s="48">
        <v>5.9559441301458245</v>
      </c>
      <c r="AM139" s="19">
        <v>5.9216026949529512</v>
      </c>
      <c r="AN139" s="49">
        <v>5.9216026949529512</v>
      </c>
    </row>
    <row r="140" spans="12:40" x14ac:dyDescent="0.35">
      <c r="L140" s="46"/>
      <c r="M140" s="47">
        <v>0.99000000000000066</v>
      </c>
      <c r="N140" s="46">
        <v>65.874379525006887</v>
      </c>
      <c r="O140" s="46">
        <v>53.739131694996303</v>
      </c>
      <c r="P140" s="48">
        <v>47.089580280346631</v>
      </c>
      <c r="Q140" s="48">
        <v>42.729161271181077</v>
      </c>
      <c r="R140" s="48">
        <v>36.627186522277547</v>
      </c>
      <c r="S140" s="19">
        <v>33.07382444912318</v>
      </c>
      <c r="T140" s="46">
        <v>30.455783510509558</v>
      </c>
      <c r="U140" s="48">
        <v>27.658082683849429</v>
      </c>
      <c r="V140" s="48">
        <v>24.346680949743501</v>
      </c>
      <c r="W140" s="48">
        <v>21.68669357161113</v>
      </c>
      <c r="X140" s="19">
        <v>19.150754019802932</v>
      </c>
      <c r="Y140" s="48">
        <v>16.92668654772223</v>
      </c>
      <c r="Z140" s="48">
        <v>14.967863222182908</v>
      </c>
      <c r="AA140" s="48">
        <v>13.327767100355391</v>
      </c>
      <c r="AB140" s="48">
        <v>11.94479361219522</v>
      </c>
      <c r="AC140" s="48">
        <v>10.828624713186411</v>
      </c>
      <c r="AD140" s="46">
        <v>9.9632261773721265</v>
      </c>
      <c r="AE140" s="48">
        <v>9.3344060205386281</v>
      </c>
      <c r="AF140" s="48">
        <v>8.875115016497606</v>
      </c>
      <c r="AG140" s="48">
        <v>8.5355955351167836</v>
      </c>
      <c r="AH140" s="19">
        <v>8.2790165744502531</v>
      </c>
      <c r="AI140" s="48">
        <v>8.0568629479489697</v>
      </c>
      <c r="AJ140" s="48">
        <v>7.8732370470893267</v>
      </c>
      <c r="AK140" s="48">
        <v>7.7234925885265548</v>
      </c>
      <c r="AL140" s="48">
        <v>7.5868298903062028</v>
      </c>
      <c r="AM140" s="19">
        <v>7.463123114588635</v>
      </c>
      <c r="AN140" s="49">
        <v>7.463123114588635</v>
      </c>
    </row>
    <row r="141" spans="12:40" x14ac:dyDescent="0.35">
      <c r="L141" s="46"/>
      <c r="M141" s="47">
        <v>0.999</v>
      </c>
      <c r="N141" s="46">
        <v>259.10323093091017</v>
      </c>
      <c r="O141" s="46">
        <v>185.06451680762342</v>
      </c>
      <c r="P141" s="48">
        <v>156.57837645925466</v>
      </c>
      <c r="Q141" s="48">
        <v>134.41696563914579</v>
      </c>
      <c r="R141" s="48">
        <v>109.03600663431915</v>
      </c>
      <c r="S141" s="19">
        <v>95.361943795438194</v>
      </c>
      <c r="T141" s="46">
        <v>85.859207178328177</v>
      </c>
      <c r="U141" s="48">
        <v>75.172703571648285</v>
      </c>
      <c r="V141" s="48">
        <v>63.250244173003047</v>
      </c>
      <c r="W141" s="48">
        <v>54.07993366549826</v>
      </c>
      <c r="X141" s="19">
        <v>45.447012817802062</v>
      </c>
      <c r="Y141" s="48">
        <v>37.65339488546816</v>
      </c>
      <c r="Z141" s="48">
        <v>31.610153729695668</v>
      </c>
      <c r="AA141" s="48">
        <v>26.694789961575271</v>
      </c>
      <c r="AB141" s="48">
        <v>22.583202727771223</v>
      </c>
      <c r="AC141" s="48">
        <v>19.344456529233177</v>
      </c>
      <c r="AD141" s="46">
        <v>16.780597009745883</v>
      </c>
      <c r="AE141" s="48">
        <v>15.152422495719176</v>
      </c>
      <c r="AF141" s="48">
        <v>13.906768384751558</v>
      </c>
      <c r="AG141" s="48">
        <v>13.103149479840221</v>
      </c>
      <c r="AH141" s="19">
        <v>12.408154868317832</v>
      </c>
      <c r="AI141" s="48">
        <v>11.836287591989462</v>
      </c>
      <c r="AJ141" s="48">
        <v>11.37763833717201</v>
      </c>
      <c r="AK141" s="48">
        <v>10.966950905225401</v>
      </c>
      <c r="AL141" s="48">
        <v>10.655840948708018</v>
      </c>
      <c r="AM141" s="19">
        <v>10.335405662741271</v>
      </c>
      <c r="AN141" s="49">
        <v>10.335405662741271</v>
      </c>
    </row>
    <row r="142" spans="12:40" x14ac:dyDescent="0.35">
      <c r="L142" s="54"/>
      <c r="M142" s="55">
        <v>1E-3</v>
      </c>
      <c r="N142" s="54">
        <v>4.018969263164294E-3</v>
      </c>
      <c r="O142" s="54">
        <v>2.6912185941016603E-2</v>
      </c>
      <c r="P142" s="56">
        <v>6.2931093763794785E-2</v>
      </c>
      <c r="Q142" s="56">
        <v>0.10522393510730298</v>
      </c>
      <c r="R142" s="56">
        <v>0.20082074676294204</v>
      </c>
      <c r="S142" s="57">
        <v>0.28907873084999702</v>
      </c>
      <c r="T142" s="54">
        <v>0.37612593743106915</v>
      </c>
      <c r="U142" s="56">
        <v>0.49650326933631028</v>
      </c>
      <c r="V142" s="56">
        <v>0.66753660765866019</v>
      </c>
      <c r="W142" s="56">
        <v>0.87100518542921535</v>
      </c>
      <c r="X142" s="57">
        <v>1.1015287854702029</v>
      </c>
      <c r="Y142" s="56">
        <v>1.3560378064470815</v>
      </c>
      <c r="Z142" s="56">
        <v>1.6385288858880447</v>
      </c>
      <c r="AA142" s="56">
        <v>1.9152136528373258</v>
      </c>
      <c r="AB142" s="56">
        <v>2.1857624862222229</v>
      </c>
      <c r="AC142" s="56">
        <v>2.4306025604470474</v>
      </c>
      <c r="AD142" s="54">
        <v>2.6474589222986267</v>
      </c>
      <c r="AE142" s="56">
        <v>2.8416605230317993</v>
      </c>
      <c r="AF142" s="56">
        <v>2.9841793326231278</v>
      </c>
      <c r="AG142" s="56">
        <v>3.0870880969981678</v>
      </c>
      <c r="AH142" s="57">
        <v>3.1804560754648605</v>
      </c>
      <c r="AI142" s="56">
        <v>3.2619210119166113</v>
      </c>
      <c r="AJ142" s="56">
        <v>3.3250206701581448</v>
      </c>
      <c r="AK142" s="56">
        <v>3.3863187828894996</v>
      </c>
      <c r="AL142" s="56">
        <v>3.4473969008971057</v>
      </c>
      <c r="AM142" s="57">
        <v>3.4926889931623544</v>
      </c>
      <c r="AN142" s="45">
        <v>3.4926889931623544</v>
      </c>
    </row>
    <row r="143" spans="12:40" x14ac:dyDescent="0.35">
      <c r="L143" s="58"/>
      <c r="M143" s="59">
        <v>0.01</v>
      </c>
      <c r="N143" s="58">
        <v>1.5424724518585713E-2</v>
      </c>
      <c r="O143" s="58">
        <v>7.2999671323502074E-2</v>
      </c>
      <c r="P143" s="60">
        <v>0.14572718878133678</v>
      </c>
      <c r="Q143" s="60">
        <v>0.22271959165953706</v>
      </c>
      <c r="R143" s="60">
        <v>0.37154348392383157</v>
      </c>
      <c r="S143" s="61">
        <v>0.50441026657954124</v>
      </c>
      <c r="T143" s="58">
        <v>0.62073740377841635</v>
      </c>
      <c r="U143" s="60">
        <v>0.77476877447247539</v>
      </c>
      <c r="V143" s="60">
        <v>0.98769693449512475</v>
      </c>
      <c r="W143" s="60">
        <v>1.2257103951876462</v>
      </c>
      <c r="X143" s="61">
        <v>1.4809710507941838</v>
      </c>
      <c r="Y143" s="60">
        <v>1.7597217815785609</v>
      </c>
      <c r="Z143" s="60">
        <v>2.0514735838775198</v>
      </c>
      <c r="AA143" s="60">
        <v>2.3228340020337015</v>
      </c>
      <c r="AB143" s="60">
        <v>2.5827801767668888</v>
      </c>
      <c r="AC143" s="60">
        <v>2.8193879465935181</v>
      </c>
      <c r="AD143" s="58">
        <v>3.0260159117845848</v>
      </c>
      <c r="AE143" s="60">
        <v>3.1977232481875841</v>
      </c>
      <c r="AF143" s="60">
        <v>3.3225212524102625</v>
      </c>
      <c r="AG143" s="60">
        <v>3.4205524828545077</v>
      </c>
      <c r="AH143" s="61">
        <v>3.5036322845351577</v>
      </c>
      <c r="AI143" s="60">
        <v>3.5745989993358149</v>
      </c>
      <c r="AJ143" s="60">
        <v>3.6324052682497756</v>
      </c>
      <c r="AK143" s="60">
        <v>3.6827209923706774</v>
      </c>
      <c r="AL143" s="60">
        <v>3.7307184598504217</v>
      </c>
      <c r="AM143" s="61">
        <v>3.7757996940297036</v>
      </c>
      <c r="AN143" s="49">
        <v>3.7757996940297036</v>
      </c>
    </row>
    <row r="144" spans="12:40" x14ac:dyDescent="0.35">
      <c r="L144" s="58"/>
      <c r="M144" s="59">
        <v>9.9999999999999992E-2</v>
      </c>
      <c r="N144" s="58">
        <v>0.10020843316282493</v>
      </c>
      <c r="O144" s="58">
        <v>0.29278947647772791</v>
      </c>
      <c r="P144" s="60">
        <v>0.47286745055466944</v>
      </c>
      <c r="Q144" s="60">
        <v>0.63045885516357014</v>
      </c>
      <c r="R144" s="60">
        <v>0.89050259431546996</v>
      </c>
      <c r="S144" s="61">
        <v>1.0957238421810163</v>
      </c>
      <c r="T144" s="58">
        <v>1.2651756574534763</v>
      </c>
      <c r="U144" s="60">
        <v>1.4724389833046239</v>
      </c>
      <c r="V144" s="60">
        <v>1.7374135972437474</v>
      </c>
      <c r="W144" s="60">
        <v>2.0086891127032254</v>
      </c>
      <c r="X144" s="61">
        <v>2.2791008774342703</v>
      </c>
      <c r="Y144" s="60">
        <v>2.5583289071468855</v>
      </c>
      <c r="Z144" s="60">
        <v>2.8315603586422906</v>
      </c>
      <c r="AA144" s="60">
        <v>3.0756597561394154</v>
      </c>
      <c r="AB144" s="60">
        <v>3.2988380688293972</v>
      </c>
      <c r="AC144" s="60">
        <v>3.493850344433965</v>
      </c>
      <c r="AD144" s="58">
        <v>3.6567508880991237</v>
      </c>
      <c r="AE144" s="60">
        <v>3.7896687357467376</v>
      </c>
      <c r="AF144" s="60">
        <v>3.887396368089592</v>
      </c>
      <c r="AG144" s="60">
        <v>3.9629748077429339</v>
      </c>
      <c r="AH144" s="61">
        <v>4.0246144419190868</v>
      </c>
      <c r="AI144" s="60">
        <v>4.0745649313810599</v>
      </c>
      <c r="AJ144" s="60">
        <v>4.1171483418062111</v>
      </c>
      <c r="AK144" s="60">
        <v>4.154627471373602</v>
      </c>
      <c r="AL144" s="60">
        <v>4.18924885399628</v>
      </c>
      <c r="AM144" s="61">
        <v>4.2200559835426006</v>
      </c>
      <c r="AN144" s="49">
        <v>4.2200559835426006</v>
      </c>
    </row>
    <row r="145" spans="12:40" x14ac:dyDescent="0.35">
      <c r="L145" s="58"/>
      <c r="M145" s="59">
        <v>0.25000000000000006</v>
      </c>
      <c r="N145" s="58">
        <v>0.29808561272854289</v>
      </c>
      <c r="O145" s="58">
        <v>0.66377662087849765</v>
      </c>
      <c r="P145" s="60">
        <v>0.94803965832977555</v>
      </c>
      <c r="Q145" s="60">
        <v>1.1714393734394917</v>
      </c>
      <c r="R145" s="60">
        <v>1.5111613355572648</v>
      </c>
      <c r="S145" s="61">
        <v>1.7578978224988233</v>
      </c>
      <c r="T145" s="58">
        <v>1.9503787788798947</v>
      </c>
      <c r="U145" s="60">
        <v>2.1770992212774329</v>
      </c>
      <c r="V145" s="60">
        <v>2.452157806861476</v>
      </c>
      <c r="W145" s="60">
        <v>2.7201350626506979</v>
      </c>
      <c r="X145" s="61">
        <v>2.9756354125885283</v>
      </c>
      <c r="Y145" s="60">
        <v>3.2273183810033981</v>
      </c>
      <c r="Z145" s="60">
        <v>3.4641080062193277</v>
      </c>
      <c r="AA145" s="60">
        <v>3.6650172672098442</v>
      </c>
      <c r="AB145" s="60">
        <v>3.8445418698333826</v>
      </c>
      <c r="AC145" s="60">
        <v>3.9956971605412184</v>
      </c>
      <c r="AD145" s="58">
        <v>4.1205213002514398</v>
      </c>
      <c r="AE145" s="60">
        <v>4.218471895680878</v>
      </c>
      <c r="AF145" s="60">
        <v>4.2892158900258917</v>
      </c>
      <c r="AG145" s="60">
        <v>4.344021813225166</v>
      </c>
      <c r="AH145" s="61">
        <v>4.3869671060368161</v>
      </c>
      <c r="AI145" s="60">
        <v>4.4225528462885002</v>
      </c>
      <c r="AJ145" s="60">
        <v>4.4522265289678842</v>
      </c>
      <c r="AK145" s="60">
        <v>4.4778719809144985</v>
      </c>
      <c r="AL145" s="60">
        <v>4.501832741112227</v>
      </c>
      <c r="AM145" s="61">
        <v>4.5238006100792463</v>
      </c>
      <c r="AN145" s="49">
        <v>4.5238006100792463</v>
      </c>
    </row>
    <row r="146" spans="12:40" x14ac:dyDescent="0.35">
      <c r="L146" s="58">
        <f>M37</f>
        <v>10.01</v>
      </c>
      <c r="M146" s="59">
        <v>0.50000000000000022</v>
      </c>
      <c r="N146" s="58">
        <v>1.000472585945152</v>
      </c>
      <c r="O146" s="58">
        <v>1.6770637186879807</v>
      </c>
      <c r="P146" s="60">
        <v>2.1021171692139502</v>
      </c>
      <c r="Q146" s="60">
        <v>2.3957395935082184</v>
      </c>
      <c r="R146" s="60">
        <v>2.7910833428525912</v>
      </c>
      <c r="S146" s="61">
        <v>3.0551678479945235</v>
      </c>
      <c r="T146" s="58">
        <v>3.2462338124393062</v>
      </c>
      <c r="U146" s="60">
        <v>3.4577868664733593</v>
      </c>
      <c r="V146" s="60">
        <v>3.6915400415075692</v>
      </c>
      <c r="W146" s="60">
        <v>3.9052993856073592</v>
      </c>
      <c r="X146" s="61">
        <v>4.090566347189375</v>
      </c>
      <c r="Y146" s="60">
        <v>4.2592327587403878</v>
      </c>
      <c r="Z146" s="60">
        <v>4.4089319347443858</v>
      </c>
      <c r="AA146" s="60">
        <v>4.5275254227352182</v>
      </c>
      <c r="AB146" s="60">
        <v>4.621847096175383</v>
      </c>
      <c r="AC146" s="60">
        <v>4.6966728804436499</v>
      </c>
      <c r="AD146" s="58">
        <v>4.754979214326772</v>
      </c>
      <c r="AE146" s="60">
        <v>4.7968737779950912</v>
      </c>
      <c r="AF146" s="60">
        <v>4.8256618092503816</v>
      </c>
      <c r="AG146" s="60">
        <v>4.8475767374909102</v>
      </c>
      <c r="AH146" s="61">
        <v>4.8637950767217877</v>
      </c>
      <c r="AI146" s="60">
        <v>4.8770730124882595</v>
      </c>
      <c r="AJ146" s="60">
        <v>4.8883111710050295</v>
      </c>
      <c r="AK146" s="60">
        <v>4.8978897743968357</v>
      </c>
      <c r="AL146" s="60">
        <v>4.9050037269454867</v>
      </c>
      <c r="AM146" s="61">
        <v>4.9127367015056533</v>
      </c>
      <c r="AN146" s="49">
        <v>4.9127367015056533</v>
      </c>
    </row>
    <row r="147" spans="12:40" x14ac:dyDescent="0.35">
      <c r="L147" s="58"/>
      <c r="M147" s="59">
        <v>0.75000000000000044</v>
      </c>
      <c r="N147" s="58">
        <v>3.3598232281311766</v>
      </c>
      <c r="O147" s="58">
        <v>4.362682983657221</v>
      </c>
      <c r="P147" s="60">
        <v>4.8215370608282706</v>
      </c>
      <c r="Q147" s="60">
        <v>5.0862348544920248</v>
      </c>
      <c r="R147" s="60">
        <v>5.3763675499181236</v>
      </c>
      <c r="S147" s="61">
        <v>5.5461874228235182</v>
      </c>
      <c r="T147" s="58">
        <v>5.637131403554366</v>
      </c>
      <c r="U147" s="60">
        <v>5.718288561872769</v>
      </c>
      <c r="V147" s="60">
        <v>5.7815106900841853</v>
      </c>
      <c r="W147" s="60">
        <v>5.8148782334710329</v>
      </c>
      <c r="X147" s="61">
        <v>5.821437469031336</v>
      </c>
      <c r="Y147" s="60">
        <v>5.8093713073535547</v>
      </c>
      <c r="Z147" s="60">
        <v>5.7754949156127138</v>
      </c>
      <c r="AA147" s="60">
        <v>5.7312367924220036</v>
      </c>
      <c r="AB147" s="60">
        <v>5.676688210479675</v>
      </c>
      <c r="AC147" s="60">
        <v>5.6270987852156242</v>
      </c>
      <c r="AD147" s="58">
        <v>5.5790151578096516</v>
      </c>
      <c r="AE147" s="60">
        <v>5.5355504866024825</v>
      </c>
      <c r="AF147" s="60">
        <v>5.5039371175368572</v>
      </c>
      <c r="AG147" s="60">
        <v>5.4788079034209227</v>
      </c>
      <c r="AH147" s="61">
        <v>5.4578626940780008</v>
      </c>
      <c r="AI147" s="60">
        <v>5.4391761606518134</v>
      </c>
      <c r="AJ147" s="60">
        <v>5.4234891989005973</v>
      </c>
      <c r="AK147" s="60">
        <v>5.4088283288748551</v>
      </c>
      <c r="AL147" s="60">
        <v>5.3951977401978546</v>
      </c>
      <c r="AM147" s="61">
        <v>5.3836401356911576</v>
      </c>
      <c r="AN147" s="49">
        <v>5.3836401356911576</v>
      </c>
    </row>
    <row r="148" spans="12:40" x14ac:dyDescent="0.35">
      <c r="L148" s="58"/>
      <c r="M148" s="59">
        <v>0.90000000000000058</v>
      </c>
      <c r="N148" s="58">
        <v>10.044222231287007</v>
      </c>
      <c r="O148" s="58">
        <v>10.597053135689862</v>
      </c>
      <c r="P148" s="60">
        <v>10.624843829874511</v>
      </c>
      <c r="Q148" s="60">
        <v>10.520455400917832</v>
      </c>
      <c r="R148" s="60">
        <v>10.228854227915297</v>
      </c>
      <c r="S148" s="61">
        <v>9.9853066031451405</v>
      </c>
      <c r="T148" s="58">
        <v>9.7647595289802496</v>
      </c>
      <c r="U148" s="60">
        <v>9.4837008709222008</v>
      </c>
      <c r="V148" s="60">
        <v>9.1199756638066916</v>
      </c>
      <c r="W148" s="60">
        <v>8.7736503848371079</v>
      </c>
      <c r="X148" s="61">
        <v>8.3905512844454506</v>
      </c>
      <c r="Y148" s="60">
        <v>8.0186457459706695</v>
      </c>
      <c r="Z148" s="60">
        <v>7.6612184580996701</v>
      </c>
      <c r="AA148" s="60">
        <v>7.3441973707261603</v>
      </c>
      <c r="AB148" s="60">
        <v>7.0552047084323286</v>
      </c>
      <c r="AC148" s="60">
        <v>6.8046486921088718</v>
      </c>
      <c r="AD148" s="58">
        <v>6.597817000925601</v>
      </c>
      <c r="AE148" s="60">
        <v>6.437687145248999</v>
      </c>
      <c r="AF148" s="60">
        <v>6.3218894699311692</v>
      </c>
      <c r="AG148" s="60">
        <v>6.2301200139330462</v>
      </c>
      <c r="AH148" s="61">
        <v>6.1564487241442958</v>
      </c>
      <c r="AI148" s="60">
        <v>6.0954757905282966</v>
      </c>
      <c r="AJ148" s="60">
        <v>6.0429386467111623</v>
      </c>
      <c r="AK148" s="60">
        <v>5.9972174007157051</v>
      </c>
      <c r="AL148" s="60">
        <v>5.9559441301458245</v>
      </c>
      <c r="AM148" s="61">
        <v>5.9216026949529512</v>
      </c>
      <c r="AN148" s="49">
        <v>5.9216026949529512</v>
      </c>
    </row>
    <row r="149" spans="12:40" x14ac:dyDescent="0.35">
      <c r="L149" s="58"/>
      <c r="M149" s="59">
        <v>0.99000000000000066</v>
      </c>
      <c r="N149" s="58">
        <v>65.874379525006887</v>
      </c>
      <c r="O149" s="58">
        <v>53.739131694996303</v>
      </c>
      <c r="P149" s="60">
        <v>47.089580280346631</v>
      </c>
      <c r="Q149" s="60">
        <v>42.729161271181077</v>
      </c>
      <c r="R149" s="60">
        <v>36.627186522277547</v>
      </c>
      <c r="S149" s="61">
        <v>33.07382444912318</v>
      </c>
      <c r="T149" s="58">
        <v>30.455783510509558</v>
      </c>
      <c r="U149" s="60">
        <v>27.658082683849429</v>
      </c>
      <c r="V149" s="60">
        <v>24.346680949743501</v>
      </c>
      <c r="W149" s="60">
        <v>21.68669357161113</v>
      </c>
      <c r="X149" s="61">
        <v>19.150754019802932</v>
      </c>
      <c r="Y149" s="60">
        <v>16.92668654772223</v>
      </c>
      <c r="Z149" s="60">
        <v>14.967863222182908</v>
      </c>
      <c r="AA149" s="60">
        <v>13.327767100355391</v>
      </c>
      <c r="AB149" s="60">
        <v>11.94479361219522</v>
      </c>
      <c r="AC149" s="60">
        <v>10.828624713186411</v>
      </c>
      <c r="AD149" s="58">
        <v>9.9632261773721265</v>
      </c>
      <c r="AE149" s="60">
        <v>9.3344060205386281</v>
      </c>
      <c r="AF149" s="60">
        <v>8.875115016497606</v>
      </c>
      <c r="AG149" s="60">
        <v>8.5355955351167836</v>
      </c>
      <c r="AH149" s="61">
        <v>8.2790165744502531</v>
      </c>
      <c r="AI149" s="60">
        <v>8.0568629479489697</v>
      </c>
      <c r="AJ149" s="60">
        <v>7.8732370470893267</v>
      </c>
      <c r="AK149" s="60">
        <v>7.7234925885265548</v>
      </c>
      <c r="AL149" s="60">
        <v>7.5868298903062028</v>
      </c>
      <c r="AM149" s="61">
        <v>7.463123114588635</v>
      </c>
      <c r="AN149" s="49">
        <v>7.463123114588635</v>
      </c>
    </row>
    <row r="150" spans="12:40" x14ac:dyDescent="0.35">
      <c r="L150" s="62"/>
      <c r="M150" s="63">
        <v>0.999</v>
      </c>
      <c r="N150" s="62">
        <v>259.10323093091017</v>
      </c>
      <c r="O150" s="62">
        <v>185.06451680762342</v>
      </c>
      <c r="P150" s="64">
        <v>156.57837645925466</v>
      </c>
      <c r="Q150" s="64">
        <v>134.41696563914579</v>
      </c>
      <c r="R150" s="64">
        <v>109.03600663431915</v>
      </c>
      <c r="S150" s="65">
        <v>95.361943795438194</v>
      </c>
      <c r="T150" s="62">
        <v>85.859207178328177</v>
      </c>
      <c r="U150" s="64">
        <v>75.172703571648285</v>
      </c>
      <c r="V150" s="64">
        <v>63.250244173003047</v>
      </c>
      <c r="W150" s="64">
        <v>54.07993366549826</v>
      </c>
      <c r="X150" s="65">
        <v>45.447012817802062</v>
      </c>
      <c r="Y150" s="64">
        <v>37.65339488546816</v>
      </c>
      <c r="Z150" s="64">
        <v>31.610153729695668</v>
      </c>
      <c r="AA150" s="64">
        <v>26.694789961575271</v>
      </c>
      <c r="AB150" s="64">
        <v>22.583202727771223</v>
      </c>
      <c r="AC150" s="64">
        <v>19.344456529233177</v>
      </c>
      <c r="AD150" s="62">
        <v>16.780597009745883</v>
      </c>
      <c r="AE150" s="64">
        <v>15.152422495719176</v>
      </c>
      <c r="AF150" s="64">
        <v>13.906768384751558</v>
      </c>
      <c r="AG150" s="64">
        <v>13.103149479840221</v>
      </c>
      <c r="AH150" s="65">
        <v>12.408154868317832</v>
      </c>
      <c r="AI150" s="64">
        <v>11.836287591989462</v>
      </c>
      <c r="AJ150" s="64">
        <v>11.37763833717201</v>
      </c>
      <c r="AK150" s="64">
        <v>10.966950905225401</v>
      </c>
      <c r="AL150" s="64">
        <v>10.655840948708018</v>
      </c>
      <c r="AM150" s="65">
        <v>10.335405662741271</v>
      </c>
      <c r="AN150" s="53">
        <v>10.335405662741271</v>
      </c>
    </row>
    <row r="152" spans="12:40" x14ac:dyDescent="0.35">
      <c r="M152" s="109"/>
    </row>
    <row r="153" spans="12:40" x14ac:dyDescent="0.35">
      <c r="M153" s="2" t="s">
        <v>32</v>
      </c>
    </row>
    <row r="154" spans="12:40" x14ac:dyDescent="0.35">
      <c r="M154" s="34" t="s">
        <v>13</v>
      </c>
    </row>
    <row r="155" spans="12:40" x14ac:dyDescent="0.35">
      <c r="M155" s="124">
        <v>0</v>
      </c>
    </row>
    <row r="156" spans="12:40" x14ac:dyDescent="0.35">
      <c r="M156" s="125">
        <v>2.9999999999999997E-4</v>
      </c>
    </row>
    <row r="157" spans="12:40" x14ac:dyDescent="0.35">
      <c r="M157" s="111">
        <v>1E-3</v>
      </c>
    </row>
    <row r="158" spans="12:40" x14ac:dyDescent="0.35">
      <c r="M158" s="111">
        <v>3.0000000000000001E-3</v>
      </c>
    </row>
    <row r="159" spans="12:40" x14ac:dyDescent="0.35">
      <c r="M159" s="111">
        <v>6.0000000000000001E-3</v>
      </c>
    </row>
    <row r="160" spans="12:40" x14ac:dyDescent="0.35">
      <c r="M160" s="111">
        <v>0.01</v>
      </c>
    </row>
    <row r="161" spans="13:13" x14ac:dyDescent="0.35">
      <c r="M161" s="111">
        <v>0.02</v>
      </c>
    </row>
    <row r="162" spans="13:13" x14ac:dyDescent="0.35">
      <c r="M162" s="111">
        <v>0.03</v>
      </c>
    </row>
    <row r="163" spans="13:13" x14ac:dyDescent="0.35">
      <c r="M163" s="111">
        <v>0.04</v>
      </c>
    </row>
    <row r="164" spans="13:13" x14ac:dyDescent="0.35">
      <c r="M164" s="111">
        <v>0.05</v>
      </c>
    </row>
    <row r="165" spans="13:13" x14ac:dyDescent="0.35">
      <c r="M165" s="111">
        <v>6.0000000000000005E-2</v>
      </c>
    </row>
    <row r="166" spans="13:13" x14ac:dyDescent="0.35">
      <c r="M166" s="111">
        <v>7.0000000000000007E-2</v>
      </c>
    </row>
    <row r="167" spans="13:13" x14ac:dyDescent="0.35">
      <c r="M167" s="111">
        <v>0.08</v>
      </c>
    </row>
    <row r="168" spans="13:13" x14ac:dyDescent="0.35">
      <c r="M168" s="111">
        <v>0.09</v>
      </c>
    </row>
    <row r="169" spans="13:13" x14ac:dyDescent="0.35">
      <c r="M169" s="111">
        <v>9.9999999999999992E-2</v>
      </c>
    </row>
    <row r="170" spans="13:13" x14ac:dyDescent="0.35">
      <c r="M170" s="111">
        <v>0.10999999999999999</v>
      </c>
    </row>
    <row r="171" spans="13:13" x14ac:dyDescent="0.35">
      <c r="M171" s="111">
        <v>0.11999999999999998</v>
      </c>
    </row>
    <row r="172" spans="13:13" x14ac:dyDescent="0.35">
      <c r="M172" s="111">
        <v>0.12999999999999998</v>
      </c>
    </row>
    <row r="173" spans="13:13" x14ac:dyDescent="0.35">
      <c r="M173" s="111">
        <v>0.13999999999999999</v>
      </c>
    </row>
    <row r="174" spans="13:13" x14ac:dyDescent="0.35">
      <c r="M174" s="111">
        <v>0.15</v>
      </c>
    </row>
    <row r="175" spans="13:13" x14ac:dyDescent="0.35">
      <c r="M175" s="111">
        <v>0.16</v>
      </c>
    </row>
    <row r="176" spans="13:13" x14ac:dyDescent="0.35">
      <c r="M176" s="111">
        <v>0.17</v>
      </c>
    </row>
    <row r="177" spans="13:13" x14ac:dyDescent="0.35">
      <c r="M177" s="111">
        <v>0.18000000000000002</v>
      </c>
    </row>
    <row r="178" spans="13:13" x14ac:dyDescent="0.35">
      <c r="M178" s="111">
        <v>0.19000000000000003</v>
      </c>
    </row>
    <row r="179" spans="13:13" x14ac:dyDescent="0.35">
      <c r="M179" s="111">
        <v>0.20000000000000004</v>
      </c>
    </row>
    <row r="180" spans="13:13" x14ac:dyDescent="0.35">
      <c r="M180" s="111">
        <v>0.21000000000000005</v>
      </c>
    </row>
    <row r="181" spans="13:13" x14ac:dyDescent="0.35">
      <c r="M181" s="111">
        <v>0.22000000000000006</v>
      </c>
    </row>
    <row r="182" spans="13:13" x14ac:dyDescent="0.35">
      <c r="M182" s="111">
        <v>0.23000000000000007</v>
      </c>
    </row>
    <row r="183" spans="13:13" x14ac:dyDescent="0.35">
      <c r="M183" s="111">
        <v>0.24000000000000007</v>
      </c>
    </row>
    <row r="184" spans="13:13" x14ac:dyDescent="0.35">
      <c r="M184" s="111">
        <v>0.25000000000000006</v>
      </c>
    </row>
    <row r="185" spans="13:13" x14ac:dyDescent="0.35">
      <c r="M185" s="111">
        <v>0.26000000000000006</v>
      </c>
    </row>
    <row r="186" spans="13:13" x14ac:dyDescent="0.35">
      <c r="M186" s="111">
        <v>0.27000000000000007</v>
      </c>
    </row>
    <row r="187" spans="13:13" x14ac:dyDescent="0.35">
      <c r="M187" s="111">
        <v>0.28000000000000008</v>
      </c>
    </row>
    <row r="188" spans="13:13" x14ac:dyDescent="0.35">
      <c r="M188" s="111">
        <v>0.29000000000000009</v>
      </c>
    </row>
    <row r="189" spans="13:13" x14ac:dyDescent="0.35">
      <c r="M189" s="111">
        <v>0.3000000000000001</v>
      </c>
    </row>
    <row r="190" spans="13:13" x14ac:dyDescent="0.35">
      <c r="M190" s="111">
        <v>0.31000000000000011</v>
      </c>
    </row>
    <row r="191" spans="13:13" x14ac:dyDescent="0.35">
      <c r="M191" s="111">
        <v>0.32000000000000012</v>
      </c>
    </row>
    <row r="192" spans="13:13" x14ac:dyDescent="0.35">
      <c r="M192" s="111">
        <v>0.33000000000000013</v>
      </c>
    </row>
    <row r="193" spans="13:13" x14ac:dyDescent="0.35">
      <c r="M193" s="111">
        <v>0.34000000000000014</v>
      </c>
    </row>
    <row r="194" spans="13:13" x14ac:dyDescent="0.35">
      <c r="M194" s="111">
        <v>0.35000000000000014</v>
      </c>
    </row>
    <row r="195" spans="13:13" x14ac:dyDescent="0.35">
      <c r="M195" s="111">
        <v>0.36000000000000015</v>
      </c>
    </row>
    <row r="196" spans="13:13" x14ac:dyDescent="0.35">
      <c r="M196" s="111">
        <v>0.37000000000000016</v>
      </c>
    </row>
    <row r="197" spans="13:13" x14ac:dyDescent="0.35">
      <c r="M197" s="111">
        <v>0.38000000000000017</v>
      </c>
    </row>
    <row r="198" spans="13:13" x14ac:dyDescent="0.35">
      <c r="M198" s="111">
        <v>0.39000000000000018</v>
      </c>
    </row>
    <row r="199" spans="13:13" x14ac:dyDescent="0.35">
      <c r="M199" s="111">
        <v>0.40000000000000019</v>
      </c>
    </row>
    <row r="200" spans="13:13" x14ac:dyDescent="0.35">
      <c r="M200" s="111">
        <v>0.4100000000000002</v>
      </c>
    </row>
    <row r="201" spans="13:13" x14ac:dyDescent="0.35">
      <c r="M201" s="111">
        <v>0.42000000000000021</v>
      </c>
    </row>
    <row r="202" spans="13:13" x14ac:dyDescent="0.35">
      <c r="M202" s="111">
        <v>0.43000000000000022</v>
      </c>
    </row>
    <row r="203" spans="13:13" x14ac:dyDescent="0.35">
      <c r="M203" s="111">
        <v>0.44000000000000022</v>
      </c>
    </row>
    <row r="204" spans="13:13" x14ac:dyDescent="0.35">
      <c r="M204" s="111">
        <v>0.45000000000000023</v>
      </c>
    </row>
    <row r="205" spans="13:13" x14ac:dyDescent="0.35">
      <c r="M205" s="111">
        <v>0.46000000000000024</v>
      </c>
    </row>
    <row r="206" spans="13:13" x14ac:dyDescent="0.35">
      <c r="M206" s="111">
        <v>0.47000000000000025</v>
      </c>
    </row>
    <row r="207" spans="13:13" x14ac:dyDescent="0.35">
      <c r="M207" s="111">
        <v>0.48000000000000026</v>
      </c>
    </row>
    <row r="208" spans="13:13" x14ac:dyDescent="0.35">
      <c r="M208" s="111">
        <v>0.49000000000000027</v>
      </c>
    </row>
    <row r="209" spans="13:13" x14ac:dyDescent="0.35">
      <c r="M209" s="111">
        <v>0.50000000000000022</v>
      </c>
    </row>
    <row r="210" spans="13:13" x14ac:dyDescent="0.35">
      <c r="M210" s="111">
        <v>0.51000000000000023</v>
      </c>
    </row>
    <row r="211" spans="13:13" x14ac:dyDescent="0.35">
      <c r="M211" s="111">
        <v>0.52000000000000024</v>
      </c>
    </row>
    <row r="212" spans="13:13" x14ac:dyDescent="0.35">
      <c r="M212" s="111">
        <v>0.53000000000000025</v>
      </c>
    </row>
    <row r="213" spans="13:13" x14ac:dyDescent="0.35">
      <c r="M213" s="111">
        <v>0.54000000000000026</v>
      </c>
    </row>
    <row r="214" spans="13:13" x14ac:dyDescent="0.35">
      <c r="M214" s="111">
        <v>0.55000000000000027</v>
      </c>
    </row>
    <row r="215" spans="13:13" x14ac:dyDescent="0.35">
      <c r="M215" s="111">
        <v>0.56000000000000028</v>
      </c>
    </row>
    <row r="216" spans="13:13" x14ac:dyDescent="0.35">
      <c r="M216" s="111">
        <v>0.57000000000000028</v>
      </c>
    </row>
    <row r="217" spans="13:13" x14ac:dyDescent="0.35">
      <c r="M217" s="111">
        <v>0.58000000000000029</v>
      </c>
    </row>
    <row r="218" spans="13:13" x14ac:dyDescent="0.35">
      <c r="M218" s="111">
        <v>0.5900000000000003</v>
      </c>
    </row>
    <row r="219" spans="13:13" x14ac:dyDescent="0.35">
      <c r="M219" s="111">
        <v>0.60000000000000031</v>
      </c>
    </row>
    <row r="220" spans="13:13" x14ac:dyDescent="0.35">
      <c r="M220" s="111">
        <v>0.61000000000000032</v>
      </c>
    </row>
    <row r="221" spans="13:13" x14ac:dyDescent="0.35">
      <c r="M221" s="111">
        <v>0.62000000000000033</v>
      </c>
    </row>
    <row r="222" spans="13:13" x14ac:dyDescent="0.35">
      <c r="M222" s="111">
        <v>0.63000000000000034</v>
      </c>
    </row>
    <row r="223" spans="13:13" x14ac:dyDescent="0.35">
      <c r="M223" s="111">
        <v>0.64000000000000035</v>
      </c>
    </row>
    <row r="224" spans="13:13" x14ac:dyDescent="0.35">
      <c r="M224" s="111">
        <v>0.65000000000000036</v>
      </c>
    </row>
    <row r="225" spans="13:13" x14ac:dyDescent="0.35">
      <c r="M225" s="111">
        <v>0.66000000000000036</v>
      </c>
    </row>
    <row r="226" spans="13:13" x14ac:dyDescent="0.35">
      <c r="M226" s="111">
        <v>0.67000000000000037</v>
      </c>
    </row>
    <row r="227" spans="13:13" x14ac:dyDescent="0.35">
      <c r="M227" s="111">
        <v>0.68000000000000038</v>
      </c>
    </row>
    <row r="228" spans="13:13" x14ac:dyDescent="0.35">
      <c r="M228" s="111">
        <v>0.69000000000000039</v>
      </c>
    </row>
    <row r="229" spans="13:13" x14ac:dyDescent="0.35">
      <c r="M229" s="111">
        <v>0.7000000000000004</v>
      </c>
    </row>
    <row r="230" spans="13:13" x14ac:dyDescent="0.35">
      <c r="M230" s="111">
        <v>0.71000000000000041</v>
      </c>
    </row>
    <row r="231" spans="13:13" x14ac:dyDescent="0.35">
      <c r="M231" s="111">
        <v>0.72000000000000042</v>
      </c>
    </row>
    <row r="232" spans="13:13" x14ac:dyDescent="0.35">
      <c r="M232" s="111">
        <v>0.73000000000000043</v>
      </c>
    </row>
    <row r="233" spans="13:13" x14ac:dyDescent="0.35">
      <c r="M233" s="111">
        <v>0.74000000000000044</v>
      </c>
    </row>
    <row r="234" spans="13:13" x14ac:dyDescent="0.35">
      <c r="M234" s="111">
        <v>0.75000000000000044</v>
      </c>
    </row>
    <row r="235" spans="13:13" x14ac:dyDescent="0.35">
      <c r="M235" s="111">
        <v>0.76000000000000045</v>
      </c>
    </row>
    <row r="236" spans="13:13" x14ac:dyDescent="0.35">
      <c r="M236" s="111">
        <v>0.77000000000000046</v>
      </c>
    </row>
    <row r="237" spans="13:13" x14ac:dyDescent="0.35">
      <c r="M237" s="111">
        <v>0.78000000000000047</v>
      </c>
    </row>
    <row r="238" spans="13:13" x14ac:dyDescent="0.35">
      <c r="M238" s="111">
        <v>0.79000000000000048</v>
      </c>
    </row>
    <row r="239" spans="13:13" x14ac:dyDescent="0.35">
      <c r="M239" s="111">
        <v>0.80000000000000049</v>
      </c>
    </row>
    <row r="240" spans="13:13" x14ac:dyDescent="0.35">
      <c r="M240" s="111">
        <v>0.8100000000000005</v>
      </c>
    </row>
    <row r="241" spans="13:13" x14ac:dyDescent="0.35">
      <c r="M241" s="111">
        <v>0.82000000000000051</v>
      </c>
    </row>
    <row r="242" spans="13:13" x14ac:dyDescent="0.35">
      <c r="M242" s="111">
        <v>0.83000000000000052</v>
      </c>
    </row>
    <row r="243" spans="13:13" x14ac:dyDescent="0.35">
      <c r="M243" s="111">
        <v>0.84000000000000052</v>
      </c>
    </row>
    <row r="244" spans="13:13" x14ac:dyDescent="0.35">
      <c r="M244" s="111">
        <v>0.85000000000000053</v>
      </c>
    </row>
    <row r="245" spans="13:13" x14ac:dyDescent="0.35">
      <c r="M245" s="111">
        <v>0.86000000000000054</v>
      </c>
    </row>
    <row r="246" spans="13:13" x14ac:dyDescent="0.35">
      <c r="M246" s="111">
        <v>0.87000000000000055</v>
      </c>
    </row>
    <row r="247" spans="13:13" x14ac:dyDescent="0.35">
      <c r="M247" s="111">
        <v>0.88000000000000056</v>
      </c>
    </row>
    <row r="248" spans="13:13" x14ac:dyDescent="0.35">
      <c r="M248" s="111">
        <v>0.89000000000000057</v>
      </c>
    </row>
    <row r="249" spans="13:13" x14ac:dyDescent="0.35">
      <c r="M249" s="111">
        <v>0.90000000000000058</v>
      </c>
    </row>
    <row r="250" spans="13:13" x14ac:dyDescent="0.35">
      <c r="M250" s="111">
        <v>0.91000000000000059</v>
      </c>
    </row>
    <row r="251" spans="13:13" x14ac:dyDescent="0.35">
      <c r="M251" s="111">
        <v>0.9200000000000006</v>
      </c>
    </row>
    <row r="252" spans="13:13" x14ac:dyDescent="0.35">
      <c r="M252" s="111">
        <v>0.9300000000000006</v>
      </c>
    </row>
    <row r="253" spans="13:13" x14ac:dyDescent="0.35">
      <c r="M253" s="111">
        <v>0.94000000000000061</v>
      </c>
    </row>
    <row r="254" spans="13:13" x14ac:dyDescent="0.35">
      <c r="M254" s="111">
        <v>0.95000000000000062</v>
      </c>
    </row>
    <row r="255" spans="13:13" x14ac:dyDescent="0.35">
      <c r="M255" s="111">
        <v>0.96000000000000063</v>
      </c>
    </row>
    <row r="256" spans="13:13" x14ac:dyDescent="0.35">
      <c r="M256" s="111">
        <v>0.97000000000000064</v>
      </c>
    </row>
    <row r="257" spans="13:13" x14ac:dyDescent="0.35">
      <c r="M257" s="111">
        <v>0.98000000000000065</v>
      </c>
    </row>
    <row r="258" spans="13:13" x14ac:dyDescent="0.35">
      <c r="M258" s="111">
        <v>0.99000000000000066</v>
      </c>
    </row>
    <row r="259" spans="13:13" x14ac:dyDescent="0.35">
      <c r="M259" s="111">
        <v>0.99399999999999999</v>
      </c>
    </row>
    <row r="260" spans="13:13" x14ac:dyDescent="0.35">
      <c r="M260" s="111">
        <v>0.997</v>
      </c>
    </row>
    <row r="261" spans="13:13" x14ac:dyDescent="0.35">
      <c r="M261" s="112">
        <v>0.999</v>
      </c>
    </row>
    <row r="262" spans="13:13" x14ac:dyDescent="0.35">
      <c r="M262" s="113"/>
    </row>
    <row r="263" spans="13:13" x14ac:dyDescent="0.35">
      <c r="M263" s="109"/>
    </row>
    <row r="264" spans="13:13" x14ac:dyDescent="0.35">
      <c r="M264" s="23"/>
    </row>
    <row r="265" spans="13:13" x14ac:dyDescent="0.35">
      <c r="M265" s="114" t="s">
        <v>14</v>
      </c>
    </row>
    <row r="266" spans="13:13" x14ac:dyDescent="0.35">
      <c r="M266" s="115">
        <f>IF(M155=0,0,EXP(M$13+M$14*LN(M155/(1-M155))+M$15*(M155-0.5)*LN(M155/(1-M155))+M$16*(M155-0.5)+M$17*(M155-0.5)^2+M$18*(M155-0.5)^2*LN(M155/(1-M155))+M$19*(M155-0.5)^3+M$20*(M155-0.5)^3*LN(M155/(1-M155))+M$21*(M155-0.5)^4))</f>
        <v>0</v>
      </c>
    </row>
    <row r="267" spans="13:13" x14ac:dyDescent="0.35">
      <c r="M267" s="21">
        <f t="shared" ref="M267:M330" si="1">IF(M156=0,0,EXP(M$13+M$14*LN(M156/(1-M156))+M$15*(M156-0.5)*LN(M156/(1-M156))+M$16*(M156-0.5)+M$17*(M156-0.5)^2+M$18*(M156-0.5)^2*LN(M156/(1-M156))+M$19*(M156-0.5)^3+M$20*(M156-0.5)^3*LN(M156/(1-M156))+M$21*(M156-0.5)^4))</f>
        <v>0.16448688873387329</v>
      </c>
    </row>
    <row r="268" spans="13:13" x14ac:dyDescent="0.35">
      <c r="M268" s="21">
        <f t="shared" si="1"/>
        <v>0.21942469300443848</v>
      </c>
    </row>
    <row r="269" spans="13:13" x14ac:dyDescent="0.35">
      <c r="M269" s="21">
        <f t="shared" si="1"/>
        <v>0.28806026675224777</v>
      </c>
    </row>
    <row r="270" spans="13:13" x14ac:dyDescent="0.35">
      <c r="M270" s="21">
        <f t="shared" si="1"/>
        <v>0.34530939316055415</v>
      </c>
    </row>
    <row r="271" spans="13:13" x14ac:dyDescent="0.35">
      <c r="M271" s="21">
        <f t="shared" si="1"/>
        <v>0.39787411748325591</v>
      </c>
    </row>
    <row r="272" spans="13:13" x14ac:dyDescent="0.35">
      <c r="M272" s="21">
        <f t="shared" si="1"/>
        <v>0.49034143935624858</v>
      </c>
    </row>
    <row r="273" spans="13:13" x14ac:dyDescent="0.35">
      <c r="M273" s="21">
        <f t="shared" si="1"/>
        <v>0.56090097044993847</v>
      </c>
    </row>
    <row r="274" spans="13:13" x14ac:dyDescent="0.35">
      <c r="M274" s="21">
        <f t="shared" si="1"/>
        <v>0.62131825798413443</v>
      </c>
    </row>
    <row r="275" spans="13:13" x14ac:dyDescent="0.35">
      <c r="M275" s="21">
        <f t="shared" si="1"/>
        <v>0.67568272009824781</v>
      </c>
    </row>
    <row r="276" spans="13:13" x14ac:dyDescent="0.35">
      <c r="M276" s="21">
        <f t="shared" si="1"/>
        <v>0.72595619863938754</v>
      </c>
    </row>
    <row r="277" spans="13:13" x14ac:dyDescent="0.35">
      <c r="M277" s="21">
        <f t="shared" si="1"/>
        <v>0.77325324079841207</v>
      </c>
    </row>
    <row r="278" spans="13:13" x14ac:dyDescent="0.35">
      <c r="M278" s="21">
        <f t="shared" si="1"/>
        <v>0.81827907272388878</v>
      </c>
    </row>
    <row r="279" spans="13:13" x14ac:dyDescent="0.35">
      <c r="M279" s="21">
        <f t="shared" si="1"/>
        <v>0.86151516539747353</v>
      </c>
    </row>
    <row r="280" spans="13:13" x14ac:dyDescent="0.35">
      <c r="M280" s="21">
        <f t="shared" si="1"/>
        <v>0.9033095606499173</v>
      </c>
    </row>
    <row r="281" spans="13:13" x14ac:dyDescent="0.35">
      <c r="M281" s="21">
        <f t="shared" si="1"/>
        <v>0.94392539135352871</v>
      </c>
    </row>
    <row r="282" spans="13:13" x14ac:dyDescent="0.35">
      <c r="M282" s="21">
        <f t="shared" si="1"/>
        <v>0.9835689492117935</v>
      </c>
    </row>
    <row r="283" spans="13:13" x14ac:dyDescent="0.35">
      <c r="M283" s="21">
        <f t="shared" si="1"/>
        <v>1.0224068908227186</v>
      </c>
    </row>
    <row r="284" spans="13:13" x14ac:dyDescent="0.35">
      <c r="M284" s="21">
        <f t="shared" si="1"/>
        <v>1.0605772908184496</v>
      </c>
    </row>
    <row r="285" spans="13:13" x14ac:dyDescent="0.35">
      <c r="M285" s="21">
        <f t="shared" si="1"/>
        <v>1.0981970227708624</v>
      </c>
    </row>
    <row r="286" spans="13:13" x14ac:dyDescent="0.35">
      <c r="M286" s="21">
        <f t="shared" si="1"/>
        <v>1.1353668517969862</v>
      </c>
    </row>
    <row r="287" spans="13:13" x14ac:dyDescent="0.35">
      <c r="M287" s="21">
        <f t="shared" si="1"/>
        <v>1.172175048561819</v>
      </c>
    </row>
    <row r="288" spans="13:13" x14ac:dyDescent="0.35">
      <c r="M288" s="21">
        <f t="shared" si="1"/>
        <v>1.2087000178403082</v>
      </c>
    </row>
    <row r="289" spans="13:13" x14ac:dyDescent="0.35">
      <c r="M289" s="21">
        <f t="shared" si="1"/>
        <v>1.2450122525368899</v>
      </c>
    </row>
    <row r="290" spans="13:13" x14ac:dyDescent="0.35">
      <c r="M290" s="21">
        <f t="shared" si="1"/>
        <v>1.281175815105368</v>
      </c>
    </row>
    <row r="291" spans="13:13" x14ac:dyDescent="0.35">
      <c r="M291" s="21">
        <f t="shared" si="1"/>
        <v>1.3172494810243265</v>
      </c>
    </row>
    <row r="292" spans="13:13" x14ac:dyDescent="0.35">
      <c r="M292" s="21">
        <f t="shared" si="1"/>
        <v>1.3532876362256379</v>
      </c>
    </row>
    <row r="293" spans="13:13" x14ac:dyDescent="0.35">
      <c r="M293" s="21">
        <f t="shared" si="1"/>
        <v>1.3893409925097242</v>
      </c>
    </row>
    <row r="294" spans="13:13" x14ac:dyDescent="0.35">
      <c r="M294" s="21">
        <f t="shared" si="1"/>
        <v>1.425457166411342</v>
      </c>
    </row>
    <row r="295" spans="13:13" x14ac:dyDescent="0.35">
      <c r="M295" s="21">
        <f t="shared" si="1"/>
        <v>1.4616811543533084</v>
      </c>
    </row>
    <row r="296" spans="13:13" x14ac:dyDescent="0.35">
      <c r="M296" s="21">
        <f t="shared" si="1"/>
        <v>1.4980557281846898</v>
      </c>
    </row>
    <row r="297" spans="13:13" x14ac:dyDescent="0.35">
      <c r="M297" s="21">
        <f t="shared" si="1"/>
        <v>1.5346217690503785</v>
      </c>
    </row>
    <row r="298" spans="13:13" x14ac:dyDescent="0.35">
      <c r="M298" s="21">
        <f t="shared" si="1"/>
        <v>1.5714185531493141</v>
      </c>
    </row>
    <row r="299" spans="13:13" x14ac:dyDescent="0.35">
      <c r="M299" s="21">
        <f t="shared" si="1"/>
        <v>1.6084839997642495</v>
      </c>
    </row>
    <row r="300" spans="13:13" x14ac:dyDescent="0.35">
      <c r="M300" s="21">
        <f t="shared" si="1"/>
        <v>1.6458548896240826</v>
      </c>
    </row>
    <row r="301" spans="13:13" x14ac:dyDescent="0.35">
      <c r="M301" s="21">
        <f t="shared" si="1"/>
        <v>1.6835670599443995</v>
      </c>
    </row>
    <row r="302" spans="13:13" x14ac:dyDescent="0.35">
      <c r="M302" s="21">
        <f t="shared" si="1"/>
        <v>1.7216555812140695</v>
      </c>
    </row>
    <row r="303" spans="13:13" x14ac:dyDescent="0.35">
      <c r="M303" s="21">
        <f t="shared" si="1"/>
        <v>1.7601549198377853</v>
      </c>
    </row>
    <row r="304" spans="13:13" x14ac:dyDescent="0.35">
      <c r="M304" s="21">
        <f t="shared" si="1"/>
        <v>1.7990990900233603</v>
      </c>
    </row>
    <row r="305" spans="13:13" x14ac:dyDescent="0.35">
      <c r="M305" s="21">
        <f t="shared" si="1"/>
        <v>1.8385217977593002</v>
      </c>
    </row>
    <row r="306" spans="13:13" x14ac:dyDescent="0.35">
      <c r="M306" s="21">
        <f t="shared" si="1"/>
        <v>1.8784565793201766</v>
      </c>
    </row>
    <row r="307" spans="13:13" x14ac:dyDescent="0.35">
      <c r="M307" s="21">
        <f t="shared" si="1"/>
        <v>1.9189369364338966</v>
      </c>
    </row>
    <row r="308" spans="13:13" x14ac:dyDescent="0.35">
      <c r="M308" s="21">
        <f t="shared" si="1"/>
        <v>1.9599964700237715</v>
      </c>
    </row>
    <row r="309" spans="13:13" x14ac:dyDescent="0.35">
      <c r="M309" s="21">
        <f t="shared" si="1"/>
        <v>2.0016690142830647</v>
      </c>
    </row>
    <row r="310" spans="13:13" x14ac:dyDescent="0.35">
      <c r="M310" s="21">
        <f t="shared" si="1"/>
        <v>2.0439887727387234</v>
      </c>
    </row>
    <row r="311" spans="13:13" x14ac:dyDescent="0.35">
      <c r="M311" s="21">
        <f t="shared" si="1"/>
        <v>2.0869904579058729</v>
      </c>
    </row>
    <row r="312" spans="13:13" x14ac:dyDescent="0.35">
      <c r="M312" s="21">
        <f t="shared" si="1"/>
        <v>2.1307094361195906</v>
      </c>
    </row>
    <row r="313" spans="13:13" x14ac:dyDescent="0.35">
      <c r="M313" s="21">
        <f t="shared" si="1"/>
        <v>2.1751818791517366</v>
      </c>
    </row>
    <row r="314" spans="13:13" x14ac:dyDescent="0.35">
      <c r="M314" s="21">
        <f t="shared" si="1"/>
        <v>2.2204449242761251</v>
      </c>
    </row>
    <row r="315" spans="13:13" x14ac:dyDescent="0.35">
      <c r="M315" s="21">
        <f t="shared" si="1"/>
        <v>2.2665368445343974</v>
      </c>
    </row>
    <row r="316" spans="13:13" x14ac:dyDescent="0.35">
      <c r="M316" s="21">
        <f t="shared" si="1"/>
        <v>2.3134972310782622</v>
      </c>
    </row>
    <row r="317" spans="13:13" x14ac:dyDescent="0.35">
      <c r="M317" s="21">
        <f t="shared" si="1"/>
        <v>2.3613671896231092</v>
      </c>
    </row>
    <row r="318" spans="13:13" x14ac:dyDescent="0.35">
      <c r="M318" s="21">
        <f t="shared" si="1"/>
        <v>2.4101895532464659</v>
      </c>
    </row>
    <row r="319" spans="13:13" x14ac:dyDescent="0.35">
      <c r="M319" s="21">
        <f t="shared" si="1"/>
        <v>2.4600091140066476</v>
      </c>
    </row>
    <row r="320" spans="13:13" x14ac:dyDescent="0.35">
      <c r="M320" s="21">
        <f t="shared" si="1"/>
        <v>2.5108728761480803</v>
      </c>
    </row>
    <row r="321" spans="13:13" x14ac:dyDescent="0.35">
      <c r="M321" s="21">
        <f t="shared" si="1"/>
        <v>2.5628303340074976</v>
      </c>
    </row>
    <row r="322" spans="13:13" x14ac:dyDescent="0.35">
      <c r="M322" s="21">
        <f t="shared" si="1"/>
        <v>2.6159337781487864</v>
      </c>
    </row>
    <row r="323" spans="13:13" x14ac:dyDescent="0.35">
      <c r="M323" s="21">
        <f t="shared" si="1"/>
        <v>2.6702386337453707</v>
      </c>
    </row>
    <row r="324" spans="13:13" x14ac:dyDescent="0.35">
      <c r="M324" s="21">
        <f t="shared" si="1"/>
        <v>2.7258038358118784</v>
      </c>
    </row>
    <row r="325" spans="13:13" x14ac:dyDescent="0.35">
      <c r="M325" s="21">
        <f t="shared" si="1"/>
        <v>2.7826922465792889</v>
      </c>
    </row>
    <row r="326" spans="13:13" x14ac:dyDescent="0.35">
      <c r="M326" s="21">
        <f t="shared" si="1"/>
        <v>2.8409711211317301</v>
      </c>
    </row>
    <row r="327" spans="13:13" x14ac:dyDescent="0.35">
      <c r="M327" s="21">
        <f t="shared" si="1"/>
        <v>2.9007126284058526</v>
      </c>
    </row>
    <row r="328" spans="13:13" x14ac:dyDescent="0.35">
      <c r="M328" s="21">
        <f t="shared" si="1"/>
        <v>2.9619944358291872</v>
      </c>
    </row>
    <row r="329" spans="13:13" x14ac:dyDescent="0.35">
      <c r="M329" s="21">
        <f t="shared" si="1"/>
        <v>3.0249003672843684</v>
      </c>
    </row>
    <row r="330" spans="13:13" x14ac:dyDescent="0.35">
      <c r="M330" s="21">
        <f t="shared" si="1"/>
        <v>3.0895211457846541</v>
      </c>
    </row>
    <row r="331" spans="13:13" x14ac:dyDescent="0.35">
      <c r="M331" s="21">
        <f t="shared" ref="M331:M372" si="2">IF(M220=0,0,EXP(M$13+M$14*LN(M220/(1-M220))+M$15*(M220-0.5)*LN(M220/(1-M220))+M$16*(M220-0.5)+M$17*(M220-0.5)^2+M$18*(M220-0.5)^2*LN(M220/(1-M220))+M$19*(M220-0.5)^3+M$20*(M220-0.5)^3*LN(M220/(1-M220))+M$21*(M220-0.5)^4))</f>
        <v>3.1559552342997068</v>
      </c>
    </row>
    <row r="332" spans="13:13" x14ac:dyDescent="0.35">
      <c r="M332" s="21">
        <f t="shared" si="2"/>
        <v>3.2243097906634941</v>
      </c>
    </row>
    <row r="333" spans="13:13" x14ac:dyDescent="0.35">
      <c r="M333" s="21">
        <f t="shared" si="2"/>
        <v>3.2947017555363054</v>
      </c>
    </row>
    <row r="334" spans="13:13" x14ac:dyDescent="0.35">
      <c r="M334" s="21">
        <f t="shared" si="2"/>
        <v>3.3672590961177487</v>
      </c>
    </row>
    <row r="335" spans="13:13" x14ac:dyDescent="0.35">
      <c r="M335" s="21">
        <f t="shared" si="2"/>
        <v>3.4421222328946719</v>
      </c>
    </row>
    <row r="336" spans="13:13" x14ac:dyDescent="0.35">
      <c r="M336" s="21">
        <f t="shared" si="2"/>
        <v>3.5194456823869715</v>
      </c>
    </row>
    <row r="337" spans="13:13" x14ac:dyDescent="0.35">
      <c r="M337" s="21">
        <f t="shared" si="2"/>
        <v>3.5993999559249019</v>
      </c>
    </row>
    <row r="338" spans="13:13" x14ac:dyDescent="0.35">
      <c r="M338" s="21">
        <f t="shared" si="2"/>
        <v>3.6821737633477496</v>
      </c>
    </row>
    <row r="339" spans="13:13" x14ac:dyDescent="0.35">
      <c r="M339" s="21">
        <f t="shared" si="2"/>
        <v>3.7679765816769364</v>
      </c>
    </row>
    <row r="340" spans="13:13" x14ac:dyDescent="0.35">
      <c r="M340" s="21">
        <f t="shared" si="2"/>
        <v>3.8570416629825792</v>
      </c>
    </row>
    <row r="341" spans="13:13" x14ac:dyDescent="0.35">
      <c r="M341" s="21">
        <f t="shared" si="2"/>
        <v>3.9496295737681271</v>
      </c>
    </row>
    <row r="342" spans="13:13" x14ac:dyDescent="0.35">
      <c r="M342" s="21">
        <f t="shared" si="2"/>
        <v>4.04603238151463</v>
      </c>
    </row>
    <row r="343" spans="13:13" x14ac:dyDescent="0.35">
      <c r="M343" s="21">
        <f t="shared" si="2"/>
        <v>4.1465786342993418</v>
      </c>
    </row>
    <row r="344" spans="13:13" x14ac:dyDescent="0.35">
      <c r="M344" s="21">
        <f t="shared" si="2"/>
        <v>4.2516393190489659</v>
      </c>
    </row>
    <row r="345" spans="13:13" x14ac:dyDescent="0.35">
      <c r="M345" s="21">
        <f t="shared" si="2"/>
        <v>4.3616350363911316</v>
      </c>
    </row>
    <row r="346" spans="13:13" x14ac:dyDescent="0.35">
      <c r="M346" s="21">
        <f t="shared" si="2"/>
        <v>4.4770447000255196</v>
      </c>
    </row>
    <row r="347" spans="13:13" x14ac:dyDescent="0.35">
      <c r="M347" s="21">
        <f t="shared" si="2"/>
        <v>4.5984161629320983</v>
      </c>
    </row>
    <row r="348" spans="13:13" x14ac:dyDescent="0.35">
      <c r="M348" s="21">
        <f t="shared" si="2"/>
        <v>4.7263793015815452</v>
      </c>
    </row>
    <row r="349" spans="13:13" x14ac:dyDescent="0.35">
      <c r="M349" s="21">
        <f t="shared" si="2"/>
        <v>4.8616622673915044</v>
      </c>
    </row>
    <row r="350" spans="13:13" x14ac:dyDescent="0.35">
      <c r="M350" s="21">
        <f t="shared" si="2"/>
        <v>5.0051118641426751</v>
      </c>
    </row>
    <row r="351" spans="13:13" x14ac:dyDescent="0.35">
      <c r="M351" s="21">
        <f t="shared" si="2"/>
        <v>5.1577193647359039</v>
      </c>
    </row>
    <row r="352" spans="13:13" x14ac:dyDescent="0.35">
      <c r="M352" s="21">
        <f t="shared" si="2"/>
        <v>5.3206535930742236</v>
      </c>
    </row>
    <row r="353" spans="13:13" x14ac:dyDescent="0.35">
      <c r="M353" s="21">
        <f t="shared" si="2"/>
        <v>5.4953038503352332</v>
      </c>
    </row>
    <row r="354" spans="13:13" x14ac:dyDescent="0.35">
      <c r="M354" s="21">
        <f t="shared" si="2"/>
        <v>5.6833363946739777</v>
      </c>
    </row>
    <row r="355" spans="13:13" x14ac:dyDescent="0.35">
      <c r="M355" s="21">
        <f t="shared" si="2"/>
        <v>5.8867699143514995</v>
      </c>
    </row>
    <row r="356" spans="13:13" x14ac:dyDescent="0.35">
      <c r="M356" s="21">
        <f t="shared" si="2"/>
        <v>6.1080781509144959</v>
      </c>
    </row>
    <row r="357" spans="13:13" x14ac:dyDescent="0.35">
      <c r="M357" s="21">
        <f t="shared" si="2"/>
        <v>6.3503322093256438</v>
      </c>
    </row>
    <row r="358" spans="13:13" x14ac:dyDescent="0.35">
      <c r="M358" s="21">
        <f t="shared" si="2"/>
        <v>6.6174023735403988</v>
      </c>
    </row>
    <row r="359" spans="13:13" x14ac:dyDescent="0.35">
      <c r="M359" s="21">
        <f t="shared" si="2"/>
        <v>6.9142517792047196</v>
      </c>
    </row>
    <row r="360" spans="13:13" x14ac:dyDescent="0.35">
      <c r="M360" s="21">
        <f t="shared" si="2"/>
        <v>7.2473767489328829</v>
      </c>
    </row>
    <row r="361" spans="13:13" x14ac:dyDescent="0.35">
      <c r="M361" s="21">
        <f t="shared" si="2"/>
        <v>7.6254907433092365</v>
      </c>
    </row>
    <row r="362" spans="13:13" x14ac:dyDescent="0.35">
      <c r="M362" s="21">
        <f t="shared" si="2"/>
        <v>8.0606324747099531</v>
      </c>
    </row>
    <row r="363" spans="13:13" x14ac:dyDescent="0.35">
      <c r="M363" s="21">
        <f t="shared" si="2"/>
        <v>8.5700558626213006</v>
      </c>
    </row>
    <row r="364" spans="13:13" x14ac:dyDescent="0.35">
      <c r="M364" s="21">
        <f t="shared" si="2"/>
        <v>9.1796665532933854</v>
      </c>
    </row>
    <row r="365" spans="13:13" x14ac:dyDescent="0.35">
      <c r="M365" s="21">
        <f t="shared" si="2"/>
        <v>9.9308058008190532</v>
      </c>
    </row>
    <row r="366" spans="13:13" x14ac:dyDescent="0.35">
      <c r="M366" s="21">
        <f t="shared" si="2"/>
        <v>10.89519722763742</v>
      </c>
    </row>
    <row r="367" spans="13:13" x14ac:dyDescent="0.35">
      <c r="M367" s="21">
        <f t="shared" si="2"/>
        <v>12.213425807802082</v>
      </c>
    </row>
    <row r="368" spans="13:13" x14ac:dyDescent="0.35">
      <c r="M368" s="21">
        <f t="shared" si="2"/>
        <v>14.221177273293145</v>
      </c>
    </row>
    <row r="369" spans="13:13" x14ac:dyDescent="0.35">
      <c r="M369" s="21">
        <f t="shared" si="2"/>
        <v>18.103086663886625</v>
      </c>
    </row>
    <row r="370" spans="13:13" x14ac:dyDescent="0.35">
      <c r="M370" s="21">
        <f t="shared" si="2"/>
        <v>21.387326492944286</v>
      </c>
    </row>
    <row r="371" spans="13:13" x14ac:dyDescent="0.35">
      <c r="M371" s="21">
        <f t="shared" si="2"/>
        <v>26.549093685103585</v>
      </c>
    </row>
    <row r="372" spans="13:13" x14ac:dyDescent="0.35">
      <c r="M372" s="126">
        <f t="shared" si="2"/>
        <v>36.883564702045362</v>
      </c>
    </row>
    <row r="373" spans="13:13" x14ac:dyDescent="0.35">
      <c r="M373" s="113"/>
    </row>
    <row r="374" spans="13:13" x14ac:dyDescent="0.35">
      <c r="M374" s="109"/>
    </row>
    <row r="375" spans="13:13" x14ac:dyDescent="0.35">
      <c r="M375" s="3"/>
    </row>
    <row r="376" spans="13:13" x14ac:dyDescent="0.35">
      <c r="M376" s="35" t="s">
        <v>15</v>
      </c>
    </row>
    <row r="377" spans="13:13" x14ac:dyDescent="0.35">
      <c r="M377" s="44">
        <f>IF(M155=0,0,((M$14/(M155*(1-M155))+M$15*((M155-0.5)/(M155*(1-M155))+LN(M155/(1-M155)))+M$16+2*M$17*(M155-0.5)+M$18*((M155-0.5)^2/(M155*(1-M155))+2*(M155-0.5)*LN(M155/(1-M155)))+3*M$19*(M155-0.5)^2+M$20*((M155-0.5)^3/(M155*(1-M155))+3*(M155-0.5)^2*LN(M155/(1-M155)))+4*M$21*(M155-0.5)^3)^-1)*EXP(-(M$13+M$14*LN(M155/(1-M155))+M$15*(M155-0.5)*LN(M155/(1-M155))+M$16*(M155-0.5)+M$17*(M155-0.5)^2+M$18*(M155-0.5)^2*LN(M155/(1-M155))+M$19*(M155-0.5)^3+M$20*(M155-0.5)^3*LN(M155/(1-M155))+M$21*(M155-0.5)^4)))</f>
        <v>0</v>
      </c>
    </row>
    <row r="378" spans="13:13" x14ac:dyDescent="0.35">
      <c r="M378" s="19">
        <f t="shared" ref="M378:M441" si="3">IF(M156=0,0,((M$14/(M156*(1-M156))+M$15*((M156-0.5)/(M156*(1-M156))+LN(M156/(1-M156)))+M$16+2*M$17*(M156-0.5)+M$18*((M156-0.5)^2/(M156*(1-M156))+2*(M156-0.5)*LN(M156/(1-M156)))+3*M$19*(M156-0.5)^2+M$20*((M156-0.5)^3/(M156*(1-M156))+3*(M156-0.5)^2*LN(M156/(1-M156)))+4*M$21*(M156-0.5)^3)^-1)*EXP(-(M$13+M$14*LN(M156/(1-M156))+M$15*(M156-0.5)*LN(M156/(1-M156))+M$16*(M156-0.5)+M$17*(M156-0.5)^2+M$18*(M156-0.5)^2*LN(M156/(1-M156))+M$19*(M156-0.5)^3+M$20*(M156-0.5)^3*LN(M156/(1-M156))+M$21*(M156-0.5)^4)))</f>
        <v>7.6920722217065493E-3</v>
      </c>
    </row>
    <row r="379" spans="13:13" x14ac:dyDescent="0.35">
      <c r="M379" s="19">
        <f t="shared" si="3"/>
        <v>1.8795067547555683E-2</v>
      </c>
    </row>
    <row r="380" spans="13:13" x14ac:dyDescent="0.35">
      <c r="M380" s="19">
        <f t="shared" si="3"/>
        <v>4.0888558092909484E-2</v>
      </c>
    </row>
    <row r="381" spans="13:13" x14ac:dyDescent="0.35">
      <c r="M381" s="19">
        <f t="shared" si="3"/>
        <v>6.4457913014740228E-2</v>
      </c>
    </row>
    <row r="382" spans="13:13" x14ac:dyDescent="0.35">
      <c r="M382" s="19">
        <f t="shared" si="3"/>
        <v>8.7836752694176803E-2</v>
      </c>
    </row>
    <row r="383" spans="13:13" x14ac:dyDescent="0.35">
      <c r="M383" s="19">
        <f t="shared" si="3"/>
        <v>0.12784309845895714</v>
      </c>
    </row>
    <row r="384" spans="13:13" x14ac:dyDescent="0.35">
      <c r="M384" s="19">
        <f t="shared" si="3"/>
        <v>0.155035845282156</v>
      </c>
    </row>
    <row r="385" spans="13:13" x14ac:dyDescent="0.35">
      <c r="M385" s="19">
        <f t="shared" si="3"/>
        <v>0.175577967601315</v>
      </c>
    </row>
    <row r="386" spans="13:13" x14ac:dyDescent="0.35">
      <c r="M386" s="19">
        <f t="shared" si="3"/>
        <v>0.19199699935289247</v>
      </c>
    </row>
    <row r="387" spans="13:13" x14ac:dyDescent="0.35">
      <c r="M387" s="19">
        <f t="shared" si="3"/>
        <v>0.20558261215342585</v>
      </c>
    </row>
    <row r="388" spans="13:13" x14ac:dyDescent="0.35">
      <c r="M388" s="19">
        <f t="shared" si="3"/>
        <v>0.21707712180165015</v>
      </c>
    </row>
    <row r="389" spans="13:13" x14ac:dyDescent="0.35">
      <c r="M389" s="19">
        <f t="shared" si="3"/>
        <v>0.22694297264099028</v>
      </c>
    </row>
    <row r="390" spans="13:13" x14ac:dyDescent="0.35">
      <c r="M390" s="19">
        <f t="shared" si="3"/>
        <v>0.23548530428275707</v>
      </c>
    </row>
    <row r="391" spans="13:13" x14ac:dyDescent="0.35">
      <c r="M391" s="19">
        <f t="shared" si="3"/>
        <v>0.24291476051660396</v>
      </c>
    </row>
    <row r="392" spans="13:13" x14ac:dyDescent="0.35">
      <c r="M392" s="19">
        <f t="shared" si="3"/>
        <v>0.24938238533088081</v>
      </c>
    </row>
    <row r="393" spans="13:13" x14ac:dyDescent="0.35">
      <c r="M393" s="19">
        <f t="shared" si="3"/>
        <v>0.25500023568066016</v>
      </c>
    </row>
    <row r="394" spans="13:13" x14ac:dyDescent="0.35">
      <c r="M394" s="19">
        <f t="shared" si="3"/>
        <v>0.25985415196467199</v>
      </c>
    </row>
    <row r="395" spans="13:13" x14ac:dyDescent="0.35">
      <c r="M395" s="19">
        <f t="shared" si="3"/>
        <v>0.26401197240034863</v>
      </c>
    </row>
    <row r="396" spans="13:13" x14ac:dyDescent="0.35">
      <c r="M396" s="19">
        <f t="shared" si="3"/>
        <v>0.26752897441173396</v>
      </c>
    </row>
    <row r="397" spans="13:13" x14ac:dyDescent="0.35">
      <c r="M397" s="19">
        <f t="shared" si="3"/>
        <v>0.27045156122820224</v>
      </c>
    </row>
    <row r="398" spans="13:13" x14ac:dyDescent="0.35">
      <c r="M398" s="19">
        <f t="shared" si="3"/>
        <v>0.27281980090794145</v>
      </c>
    </row>
    <row r="399" spans="13:13" x14ac:dyDescent="0.35">
      <c r="M399" s="19">
        <f t="shared" si="3"/>
        <v>0.27466919384418309</v>
      </c>
    </row>
    <row r="400" spans="13:13" x14ac:dyDescent="0.35">
      <c r="M400" s="19">
        <f t="shared" si="3"/>
        <v>0.27603190957585888</v>
      </c>
    </row>
    <row r="401" spans="13:13" x14ac:dyDescent="0.35">
      <c r="M401" s="19">
        <f t="shared" si="3"/>
        <v>0.27693765181413582</v>
      </c>
    </row>
    <row r="402" spans="13:13" x14ac:dyDescent="0.35">
      <c r="M402" s="19">
        <f t="shared" si="3"/>
        <v>0.27741425941132108</v>
      </c>
    </row>
    <row r="403" spans="13:13" x14ac:dyDescent="0.35">
      <c r="M403" s="19">
        <f t="shared" si="3"/>
        <v>0.27748811808000806</v>
      </c>
    </row>
    <row r="404" spans="13:13" x14ac:dyDescent="0.35">
      <c r="M404" s="19">
        <f t="shared" si="3"/>
        <v>0.27718443591890701</v>
      </c>
    </row>
    <row r="405" spans="13:13" x14ac:dyDescent="0.35">
      <c r="M405" s="19">
        <f t="shared" si="3"/>
        <v>0.27652742105400802</v>
      </c>
    </row>
    <row r="406" spans="13:13" x14ac:dyDescent="0.35">
      <c r="M406" s="19">
        <f t="shared" si="3"/>
        <v>0.27554038945518505</v>
      </c>
    </row>
    <row r="407" spans="13:13" x14ac:dyDescent="0.35">
      <c r="M407" s="19">
        <f t="shared" si="3"/>
        <v>0.2742458236985027</v>
      </c>
    </row>
    <row r="408" spans="13:13" x14ac:dyDescent="0.35">
      <c r="M408" s="19">
        <f t="shared" si="3"/>
        <v>0.27266539814622198</v>
      </c>
    </row>
    <row r="409" spans="13:13" x14ac:dyDescent="0.35">
      <c r="M409" s="19">
        <f t="shared" si="3"/>
        <v>0.27081998209109337</v>
      </c>
    </row>
    <row r="410" spans="13:13" x14ac:dyDescent="0.35">
      <c r="M410" s="19">
        <f t="shared" si="3"/>
        <v>0.2687296294557025</v>
      </c>
    </row>
    <row r="411" spans="13:13" x14ac:dyDescent="0.35">
      <c r="M411" s="19">
        <f t="shared" si="3"/>
        <v>0.26641356138342132</v>
      </c>
    </row>
    <row r="412" spans="13:13" x14ac:dyDescent="0.35">
      <c r="M412" s="19">
        <f t="shared" si="3"/>
        <v>0.26389014632320074</v>
      </c>
    </row>
    <row r="413" spans="13:13" x14ac:dyDescent="0.35">
      <c r="M413" s="19">
        <f t="shared" si="3"/>
        <v>0.26117688086985275</v>
      </c>
    </row>
    <row r="414" spans="13:13" x14ac:dyDescent="0.35">
      <c r="M414" s="19">
        <f t="shared" si="3"/>
        <v>0.2582903735848418</v>
      </c>
    </row>
    <row r="415" spans="13:13" x14ac:dyDescent="0.35">
      <c r="M415" s="19">
        <f t="shared" si="3"/>
        <v>0.25524633322429757</v>
      </c>
    </row>
    <row r="416" spans="13:13" x14ac:dyDescent="0.35">
      <c r="M416" s="19">
        <f t="shared" si="3"/>
        <v>0.25205956219161674</v>
      </c>
    </row>
    <row r="417" spans="13:13" x14ac:dyDescent="0.35">
      <c r="M417" s="19">
        <f t="shared" si="3"/>
        <v>0.24874395557358597</v>
      </c>
    </row>
    <row r="418" spans="13:13" x14ac:dyDescent="0.35">
      <c r="M418" s="19">
        <f t="shared" si="3"/>
        <v>0.24531250578135733</v>
      </c>
    </row>
    <row r="419" spans="13:13" x14ac:dyDescent="0.35">
      <c r="M419" s="19">
        <f t="shared" si="3"/>
        <v>0.24177731257665014</v>
      </c>
    </row>
    <row r="420" spans="13:13" x14ac:dyDescent="0.35">
      <c r="M420" s="19">
        <f t="shared" si="3"/>
        <v>0.23814959809950856</v>
      </c>
    </row>
    <row r="421" spans="13:13" x14ac:dyDescent="0.35">
      <c r="M421" s="19">
        <f t="shared" si="3"/>
        <v>0.23443972641057467</v>
      </c>
    </row>
    <row r="422" spans="13:13" x14ac:dyDescent="0.35">
      <c r="M422" s="19">
        <f t="shared" si="3"/>
        <v>0.23065722700472829</v>
      </c>
    </row>
    <row r="423" spans="13:13" x14ac:dyDescent="0.35">
      <c r="M423" s="19">
        <f t="shared" si="3"/>
        <v>0.2268108217330421</v>
      </c>
    </row>
    <row r="424" spans="13:13" x14ac:dyDescent="0.35">
      <c r="M424" s="19">
        <f t="shared" si="3"/>
        <v>0.22290845457718175</v>
      </c>
    </row>
    <row r="425" spans="13:13" x14ac:dyDescent="0.35">
      <c r="M425" s="19">
        <f t="shared" si="3"/>
        <v>0.21895732374722998</v>
      </c>
    </row>
    <row r="426" spans="13:13" x14ac:dyDescent="0.35">
      <c r="M426" s="19">
        <f t="shared" si="3"/>
        <v>0.21496391561439576</v>
      </c>
    </row>
    <row r="427" spans="13:13" x14ac:dyDescent="0.35">
      <c r="M427" s="19">
        <f t="shared" si="3"/>
        <v>0.21093404003937835</v>
      </c>
    </row>
    <row r="428" spans="13:13" x14ac:dyDescent="0.35">
      <c r="M428" s="19">
        <f t="shared" si="3"/>
        <v>0.20687286671148405</v>
      </c>
    </row>
    <row r="429" spans="13:13" x14ac:dyDescent="0.35">
      <c r="M429" s="19">
        <f t="shared" si="3"/>
        <v>0.20278496216998732</v>
      </c>
    </row>
    <row r="430" spans="13:13" x14ac:dyDescent="0.35">
      <c r="M430" s="19">
        <f t="shared" si="3"/>
        <v>0.19867432723543615</v>
      </c>
    </row>
    <row r="431" spans="13:13" x14ac:dyDescent="0.35">
      <c r="M431" s="19">
        <f t="shared" si="3"/>
        <v>0.19454443463293089</v>
      </c>
    </row>
    <row r="432" spans="13:13" x14ac:dyDescent="0.35">
      <c r="M432" s="19">
        <f t="shared" si="3"/>
        <v>0.19039826664063308</v>
      </c>
    </row>
    <row r="433" spans="13:13" x14ac:dyDescent="0.35">
      <c r="M433" s="19">
        <f t="shared" si="3"/>
        <v>0.18623835264401092</v>
      </c>
    </row>
    <row r="434" spans="13:13" x14ac:dyDescent="0.35">
      <c r="M434" s="19">
        <f t="shared" si="3"/>
        <v>0.18206680651899507</v>
      </c>
    </row>
    <row r="435" spans="13:13" x14ac:dyDescent="0.35">
      <c r="M435" s="19">
        <f t="shared" si="3"/>
        <v>0.17788536380489958</v>
      </c>
    </row>
    <row r="436" spans="13:13" x14ac:dyDescent="0.35">
      <c r="M436" s="19">
        <f t="shared" si="3"/>
        <v>0.17369541866040084</v>
      </c>
    </row>
    <row r="437" spans="13:13" x14ac:dyDescent="0.35">
      <c r="M437" s="19">
        <f t="shared" si="3"/>
        <v>0.1694980606228742</v>
      </c>
    </row>
    <row r="438" spans="13:13" x14ac:dyDescent="0.35">
      <c r="M438" s="19">
        <f t="shared" si="3"/>
        <v>0.16529411121286042</v>
      </c>
    </row>
    <row r="439" spans="13:13" x14ac:dyDescent="0.35">
      <c r="M439" s="19">
        <f t="shared" si="3"/>
        <v>0.16108416044125015</v>
      </c>
    </row>
    <row r="440" spans="13:13" x14ac:dyDescent="0.35">
      <c r="M440" s="19">
        <f t="shared" si="3"/>
        <v>0.15686860328686017</v>
      </c>
    </row>
    <row r="441" spans="13:13" x14ac:dyDescent="0.35">
      <c r="M441" s="19">
        <f t="shared" si="3"/>
        <v>0.15264767621630029</v>
      </c>
    </row>
    <row r="442" spans="13:13" x14ac:dyDescent="0.35">
      <c r="M442" s="19">
        <f t="shared" ref="M442:M483" si="4">IF(M220=0,0,((M$14/(M220*(1-M220))+M$15*((M220-0.5)/(M220*(1-M220))+LN(M220/(1-M220)))+M$16+2*M$17*(M220-0.5)+M$18*((M220-0.5)^2/(M220*(1-M220))+2*(M220-0.5)*LN(M220/(1-M220)))+3*M$19*(M220-0.5)^2+M$20*((M220-0.5)^3/(M220*(1-M220))+3*(M220-0.5)^2*LN(M220/(1-M220)))+4*M$21*(M220-0.5)^3)^-1)*EXP(-(M$13+M$14*LN(M220/(1-M220))+M$15*(M220-0.5)*LN(M220/(1-M220))+M$16*(M220-0.5)+M$17*(M220-0.5)^2+M$18*(M220-0.5)^2*LN(M220/(1-M220))+M$19*(M220-0.5)^3+M$20*(M220-0.5)^3*LN(M220/(1-M220))+M$21*(M220-0.5)^4)))</f>
        <v>0.14842149381628592</v>
      </c>
    </row>
    <row r="443" spans="13:13" x14ac:dyDescent="0.35">
      <c r="M443" s="19">
        <f t="shared" si="4"/>
        <v>0.14419008560069649</v>
      </c>
    </row>
    <row r="444" spans="13:13" x14ac:dyDescent="0.35">
      <c r="M444" s="19">
        <f t="shared" si="4"/>
        <v>0.13995343304057642</v>
      </c>
    </row>
    <row r="445" spans="13:13" x14ac:dyDescent="0.35">
      <c r="M445" s="19">
        <f t="shared" si="4"/>
        <v>0.13571150684481714</v>
      </c>
    </row>
    <row r="446" spans="13:13" x14ac:dyDescent="0.35">
      <c r="M446" s="19">
        <f t="shared" si="4"/>
        <v>0.1314643044923611</v>
      </c>
    </row>
    <row r="447" spans="13:13" x14ac:dyDescent="0.35">
      <c r="M447" s="19">
        <f t="shared" si="4"/>
        <v>0.12721188798345165</v>
      </c>
    </row>
    <row r="448" spans="13:13" x14ac:dyDescent="0.35">
      <c r="M448" s="19">
        <f t="shared" si="4"/>
        <v>0.12295442173784576</v>
      </c>
    </row>
    <row r="449" spans="13:13" x14ac:dyDescent="0.35">
      <c r="M449" s="19">
        <f t="shared" si="4"/>
        <v>0.11869221052231246</v>
      </c>
    </row>
    <row r="450" spans="13:13" x14ac:dyDescent="0.35">
      <c r="M450" s="19">
        <f t="shared" si="4"/>
        <v>0.11442573723869028</v>
      </c>
    </row>
    <row r="451" spans="13:13" x14ac:dyDescent="0.35">
      <c r="M451" s="19">
        <f t="shared" si="4"/>
        <v>0.11015570034809341</v>
      </c>
    </row>
    <row r="452" spans="13:13" x14ac:dyDescent="0.35">
      <c r="M452" s="19">
        <f t="shared" si="4"/>
        <v>0.10588305064769318</v>
      </c>
    </row>
    <row r="453" spans="13:13" x14ac:dyDescent="0.35">
      <c r="M453" s="19">
        <f t="shared" si="4"/>
        <v>0.10160902705544037</v>
      </c>
    </row>
    <row r="454" spans="13:13" x14ac:dyDescent="0.35">
      <c r="M454" s="19">
        <f t="shared" si="4"/>
        <v>9.7335190997148449E-2</v>
      </c>
    </row>
    <row r="455" spans="13:13" x14ac:dyDescent="0.35">
      <c r="M455" s="19">
        <f t="shared" si="4"/>
        <v>9.3063458932083523E-2</v>
      </c>
    </row>
    <row r="456" spans="13:13" x14ac:dyDescent="0.35">
      <c r="M456" s="19">
        <f t="shared" si="4"/>
        <v>8.8796132500662234E-2</v>
      </c>
    </row>
    <row r="457" spans="13:13" x14ac:dyDescent="0.35">
      <c r="M457" s="19">
        <f t="shared" si="4"/>
        <v>8.4535925734693498E-2</v>
      </c>
    </row>
    <row r="458" spans="13:13" x14ac:dyDescent="0.35">
      <c r="M458" s="19">
        <f t="shared" si="4"/>
        <v>8.0285988741020164E-2</v>
      </c>
    </row>
    <row r="459" spans="13:13" x14ac:dyDescent="0.35">
      <c r="M459" s="19">
        <f t="shared" si="4"/>
        <v>7.6049927258202268E-2</v>
      </c>
    </row>
    <row r="460" spans="13:13" x14ac:dyDescent="0.35">
      <c r="M460" s="19">
        <f t="shared" si="4"/>
        <v>7.1831817498408085E-2</v>
      </c>
    </row>
    <row r="461" spans="13:13" x14ac:dyDescent="0.35">
      <c r="M461" s="19">
        <f t="shared" si="4"/>
        <v>6.7636215728974269E-2</v>
      </c>
    </row>
    <row r="462" spans="13:13" x14ac:dyDescent="0.35">
      <c r="M462" s="19">
        <f t="shared" si="4"/>
        <v>6.3468162127017475E-2</v>
      </c>
    </row>
    <row r="463" spans="13:13" x14ac:dyDescent="0.35">
      <c r="M463" s="19">
        <f t="shared" si="4"/>
        <v>5.933317856412533E-2</v>
      </c>
    </row>
    <row r="464" spans="13:13" x14ac:dyDescent="0.35">
      <c r="M464" s="19">
        <f t="shared" si="4"/>
        <v>5.5237260156682323E-2</v>
      </c>
    </row>
    <row r="465" spans="13:13" x14ac:dyDescent="0.35">
      <c r="M465" s="19">
        <f t="shared" si="4"/>
        <v>5.118686066462963E-2</v>
      </c>
    </row>
    <row r="466" spans="13:13" x14ac:dyDescent="0.35">
      <c r="M466" s="19">
        <f t="shared" si="4"/>
        <v>4.7188872158005699E-2</v>
      </c>
    </row>
    <row r="467" spans="13:13" x14ac:dyDescent="0.35">
      <c r="M467" s="19">
        <f t="shared" si="4"/>
        <v>4.3250599829554981E-2</v>
      </c>
    </row>
    <row r="468" spans="13:13" x14ac:dyDescent="0.35">
      <c r="M468" s="19">
        <f t="shared" si="4"/>
        <v>3.937973346959299E-2</v>
      </c>
    </row>
    <row r="469" spans="13:13" x14ac:dyDescent="0.35">
      <c r="M469" s="19">
        <f t="shared" si="4"/>
        <v>3.5584318037416761E-2</v>
      </c>
    </row>
    <row r="470" spans="13:13" x14ac:dyDescent="0.35">
      <c r="M470" s="19">
        <f t="shared" si="4"/>
        <v>3.1872727150179525E-2</v>
      </c>
    </row>
    <row r="471" spans="13:13" x14ac:dyDescent="0.35">
      <c r="M471" s="19">
        <f t="shared" si="4"/>
        <v>2.8253645528931382E-2</v>
      </c>
    </row>
    <row r="472" spans="13:13" x14ac:dyDescent="0.35">
      <c r="M472" s="19">
        <f t="shared" si="4"/>
        <v>2.4736070224056231E-2</v>
      </c>
    </row>
    <row r="473" spans="13:13" x14ac:dyDescent="0.35">
      <c r="M473" s="19">
        <f t="shared" si="4"/>
        <v>2.132934733402312E-2</v>
      </c>
    </row>
    <row r="474" spans="13:13" x14ac:dyDescent="0.35">
      <c r="M474" s="19">
        <f t="shared" si="4"/>
        <v>1.804327439593895E-2</v>
      </c>
    </row>
    <row r="475" spans="13:13" x14ac:dyDescent="0.35">
      <c r="M475" s="19">
        <f t="shared" si="4"/>
        <v>1.488832701513578E-2</v>
      </c>
    </row>
    <row r="476" spans="13:13" x14ac:dyDescent="0.35">
      <c r="M476" s="19">
        <f t="shared" si="4"/>
        <v>1.1876133676215627E-2</v>
      </c>
    </row>
    <row r="477" spans="13:13" x14ac:dyDescent="0.35">
      <c r="M477" s="19">
        <f t="shared" si="4"/>
        <v>9.0204905806736176E-3</v>
      </c>
    </row>
    <row r="478" spans="13:13" x14ac:dyDescent="0.35">
      <c r="M478" s="19">
        <f t="shared" si="4"/>
        <v>6.3397066781063945E-3</v>
      </c>
    </row>
    <row r="479" spans="13:13" x14ac:dyDescent="0.35">
      <c r="M479" s="19">
        <f t="shared" si="4"/>
        <v>3.8628923403979921E-3</v>
      </c>
    </row>
    <row r="480" spans="13:13" x14ac:dyDescent="0.35">
      <c r="M480" s="19">
        <f t="shared" si="4"/>
        <v>1.6522952866086223E-3</v>
      </c>
    </row>
    <row r="481" spans="13:13" x14ac:dyDescent="0.35">
      <c r="M481" s="19">
        <f t="shared" si="4"/>
        <v>8.7873365498474095E-4</v>
      </c>
    </row>
    <row r="482" spans="13:13" x14ac:dyDescent="0.35">
      <c r="M482" s="19">
        <f t="shared" si="4"/>
        <v>3.6967257932954824E-4</v>
      </c>
    </row>
    <row r="483" spans="13:13" x14ac:dyDescent="0.35">
      <c r="M483" s="30">
        <f t="shared" si="4"/>
        <v>9.2088826542028861E-5</v>
      </c>
    </row>
    <row r="484" spans="13:13" x14ac:dyDescent="0.35">
      <c r="M484" s="113"/>
    </row>
    <row r="485" spans="13:13" x14ac:dyDescent="0.35">
      <c r="M485" s="109"/>
    </row>
    <row r="486" spans="13:13" x14ac:dyDescent="0.35">
      <c r="M486" s="116" t="s">
        <v>37</v>
      </c>
    </row>
    <row r="487" spans="13:13" x14ac:dyDescent="0.35">
      <c r="M487" s="34" t="s">
        <v>34</v>
      </c>
    </row>
    <row r="488" spans="13:13" x14ac:dyDescent="0.35">
      <c r="M488" s="117">
        <v>0</v>
      </c>
    </row>
    <row r="489" spans="13:13" x14ac:dyDescent="0.35">
      <c r="M489" s="111">
        <v>1E-3</v>
      </c>
    </row>
    <row r="490" spans="13:13" x14ac:dyDescent="0.35">
      <c r="M490" s="111">
        <v>0.01</v>
      </c>
    </row>
    <row r="491" spans="13:13" x14ac:dyDescent="0.35">
      <c r="M491" s="111">
        <v>9.9999999999999992E-2</v>
      </c>
    </row>
    <row r="492" spans="13:13" x14ac:dyDescent="0.35">
      <c r="M492" s="111">
        <v>0.25000000000000006</v>
      </c>
    </row>
    <row r="493" spans="13:13" x14ac:dyDescent="0.35">
      <c r="M493" s="111">
        <v>0.50000000000000022</v>
      </c>
    </row>
    <row r="494" spans="13:13" x14ac:dyDescent="0.35">
      <c r="M494" s="111">
        <v>0.75000000000000044</v>
      </c>
    </row>
    <row r="495" spans="13:13" x14ac:dyDescent="0.35">
      <c r="M495" s="111">
        <v>0.90000000000000058</v>
      </c>
    </row>
    <row r="496" spans="13:13" x14ac:dyDescent="0.35">
      <c r="M496" s="111">
        <v>0.99000000000000066</v>
      </c>
    </row>
    <row r="497" spans="13:13" x14ac:dyDescent="0.35">
      <c r="M497" s="112">
        <v>0.999</v>
      </c>
    </row>
    <row r="498" spans="13:13" x14ac:dyDescent="0.35">
      <c r="M498" s="119"/>
    </row>
    <row r="499" spans="13:13" x14ac:dyDescent="0.35">
      <c r="M499" s="109"/>
    </row>
    <row r="500" spans="13:13" x14ac:dyDescent="0.35">
      <c r="M500" s="3"/>
    </row>
    <row r="501" spans="13:13" x14ac:dyDescent="0.35">
      <c r="M501" s="35" t="s">
        <v>35</v>
      </c>
    </row>
    <row r="502" spans="13:13" x14ac:dyDescent="0.35">
      <c r="M502" s="120">
        <v>0</v>
      </c>
    </row>
    <row r="503" spans="13:13" x14ac:dyDescent="0.35">
      <c r="M503" s="22">
        <f t="array" ref="M503:M511">M2*M5*EXP(((LN(INDEX($N$43:$AN$150,9*LOOKUP((M4/M2)^(_xlfn.NORM.S.INV(M3)/_xlfn.NORM.S.INV(0.9)),$M$26:$M$37,$L$26:$L$37)-8,LOOKUP(M5,$N$42:$AN$42,$N$41:$AN$41)):INDEX($N$43:$AN$150,9*LOOKUP((M4/M2)^(_xlfn.NORM.S.INV(M3)/_xlfn.NORM.S.INV(0.9)),$M$26:$M$37,$L$26:$L$37),LOOKUP(M5,$N$42:$AN$42,$N$41:$AN$41))))*((INDEX($N$42:$AN$42,1,LOOKUP(M5,$N$42:$AN$42,$N$41:$AN$41)+1)-M5)/(INDEX($N$42:$AN$42,1,LOOKUP(M5,$N$42:$AN$42,$N$41:$AN$41)+1)-INDEX($N$42:$AN$42,1,LOOKUP(M5,$N$42:$AN$42,$N$41:$AN$41))))+LN(INDEX($N$43:$AN$150,9*LOOKUP((M4/M2)^(_xlfn.NORM.S.INV(M3)/_xlfn.NORM.S.INV(0.9)),$M$26:$M$37,$L$26:$L$37)-8,LOOKUP(M5,$N$42:$AN$42,$N$41:$AN$41)+1):INDEX($N$43:$AN$150,9*LOOKUP((M4/M2)^(_xlfn.NORM.S.INV(M3)/_xlfn.NORM.S.INV(0.9)),$M$26:$M$37,$L$26:$L$37),LOOKUP(M5,$N$42:$AN$42,$N$41:$AN$41)+1))*(1-((INDEX($N$42:$AN$42,1,LOOKUP(M5,$N$42:$AN$42,$N$41:$AN$41)+1)-M5)/(INDEX($N$42:$AN$42,1,LOOKUP(M5,$N$42:$AN$42,$N$41:$AN$41)+1)-INDEX($N$42:$AN$42,1,LOOKUP(M5,$N$42:$AN$42,$N$41:$AN$41))))))*((INDEX($M$26:$M$37,LOOKUP((M4/M2)^(_xlfn.NORM.S.INV(M3)/_xlfn.NORM.S.INV(0.9)),$M$26:$M$37,$L$26:$L$37)+1,1)-(M4/M2)^(_xlfn.NORM.S.INV(M3)/_xlfn.NORM.S.INV(0.9)))/(INDEX($M$26:$M$37,LOOKUP((M4/M2)^(_xlfn.NORM.S.INV(M3)/_xlfn.NORM.S.INV(0.9)),$M$26:$M$37,$L$26:$L$37)+1,1)-INDEX($M$26:$M$37,LOOKUP((M4/M2)^(_xlfn.NORM.S.INV(M3)/_xlfn.NORM.S.INV(0.9)),$M$26:$M$37,$L$26:$L$37),1)))+(LN(INDEX($N$43:$AN$150,9*LOOKUP((M4/M2)^(_xlfn.NORM.S.INV(M3)/_xlfn.NORM.S.INV(0.9)),$M$26:$M$37,$L$26:$L$37)+1,LOOKUP(M5,$N$42:$AN$42,$N$41:$AN$41)):INDEX($N$43:$AN$150,9*LOOKUP((M4/M2)^(_xlfn.NORM.S.INV(M3)/_xlfn.NORM.S.INV(0.9)),$M$26:$M$37,$L$26:$L$37)+9,LOOKUP(M5,$N$42:$AN$42,$N$41:$AN$41)))*((INDEX($N$42:$AN$42,1,LOOKUP(M5,$N$42:$AN$42,$N$41:$AN$41)+1)-M5)/(INDEX($N$42:$AN$42,1,LOOKUP(M5,$N$42:$AN$42,$N$41:$AN$41)+1)-INDEX($N$42:$AN$42,1,LOOKUP(M5,$N$42:$AN$42,$N$41:$AN$41))))+LN(INDEX($N$43:$AN$150,9*LOOKUP((M4/M2)^(_xlfn.NORM.S.INV(M3)/_xlfn.NORM.S.INV(0.9)),$M$26:$M$37,$L$26:$L$37)+1,LOOKUP(M5,$N$42:$AN$42,$N$41:$AN$41)+1):INDEX($N$43:$AN$150,9*LOOKUP((M4/M2)^(_xlfn.NORM.S.INV(M3)/_xlfn.NORM.S.INV(0.9)),$M$26:$M$37,$L$26:$L$37)+9,LOOKUP(M5,$N$42:$AN$42,$N$41:$AN$41)+1))*(1-((INDEX($N$42:$AN$42,1,LOOKUP(M5,$N$42:$AN$42,$N$41:$AN$41)+1)-M5)/(INDEX($N$42:$AN$42,1,LOOKUP(M5,$N$42:$AN$42,$N$41:$AN$41)+1)-INDEX($N$42:$AN$42,1,LOOKUP(M5,$N$42:$AN$42,$N$41:$AN$41))))))*(1-(INDEX($M$26:$M$37,LOOKUP((M4/M2)^(_xlfn.NORM.S.INV(M3)/_xlfn.NORM.S.INV(0.9)),$M$26:$M$37,$L$26:$L$37)+1,1)-(M4/M2)^(_xlfn.NORM.S.INV(M3)/_xlfn.NORM.S.INV(0.9)))/(INDEX($M$26:$M$37,LOOKUP((M4/M2)^(_xlfn.NORM.S.INV(M3)/_xlfn.NORM.S.INV(0.9)),$M$26:$M$37,$L$26:$L$37)+1,1)-INDEX($M$26:$M$37,LOOKUP((M4/M2)^(_xlfn.NORM.S.INV(M3)/_xlfn.NORM.S.INV(0.9)),$M$26:$M$37,$L$26:$L$37),1))))</f>
        <v>0.2194246930044432</v>
      </c>
    </row>
    <row r="504" spans="13:13" x14ac:dyDescent="0.35">
      <c r="M504" s="22">
        <v>0.39787411748326745</v>
      </c>
    </row>
    <row r="505" spans="13:13" x14ac:dyDescent="0.35">
      <c r="M505" s="22">
        <v>0.9033095606499516</v>
      </c>
    </row>
    <row r="506" spans="13:13" x14ac:dyDescent="0.35">
      <c r="M506" s="22">
        <v>1.4616811543533692</v>
      </c>
    </row>
    <row r="507" spans="13:13" x14ac:dyDescent="0.35">
      <c r="M507" s="22">
        <v>2.5108728761481856</v>
      </c>
    </row>
    <row r="508" spans="13:13" x14ac:dyDescent="0.35">
      <c r="M508" s="22">
        <v>4.3616350363913057</v>
      </c>
    </row>
    <row r="509" spans="13:13" x14ac:dyDescent="0.35">
      <c r="M509" s="22">
        <v>7.2473767489331626</v>
      </c>
    </row>
    <row r="510" spans="13:13" x14ac:dyDescent="0.35">
      <c r="M510" s="22">
        <v>18.103086663887289</v>
      </c>
    </row>
    <row r="511" spans="13:13" x14ac:dyDescent="0.35">
      <c r="M511" s="27">
        <v>36.883564702046783</v>
      </c>
    </row>
    <row r="512" spans="13:13" x14ac:dyDescent="0.35">
      <c r="M512" s="119"/>
    </row>
    <row r="513" spans="13:13" x14ac:dyDescent="0.35">
      <c r="M513" s="119"/>
    </row>
    <row r="514" spans="13:13" x14ac:dyDescent="0.35">
      <c r="M514" s="122" t="s">
        <v>36</v>
      </c>
    </row>
    <row r="515" spans="13:13" x14ac:dyDescent="0.35">
      <c r="M515" s="123" t="str">
        <f>"sum-of-" &amp; M$5 &amp; "-IID-lognormals cumulative"</f>
        <v>sum-of-2-IID-lognormals cumulative</v>
      </c>
    </row>
    <row r="516" spans="13:13" x14ac:dyDescent="0.35">
      <c r="M516" s="123" t="str">
        <f>"sum-of-" &amp; M$5 &amp; "-IID-lognormals density"</f>
        <v>sum-of-2-IID-lognormals density</v>
      </c>
    </row>
    <row r="517" spans="13:13" x14ac:dyDescent="0.35">
      <c r="M517" s="119"/>
    </row>
  </sheetData>
  <conditionalFormatting sqref="M155:M261">
    <cfRule type="expression" dxfId="0" priority="1">
      <formula>ISERROR(M155)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 model</vt:lpstr>
      <vt:lpstr>Metalog IID triangular</vt:lpstr>
      <vt:lpstr>Metalog IID lognormal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</dc:creator>
  <cp:lastModifiedBy>Dave Empey</cp:lastModifiedBy>
  <dcterms:created xsi:type="dcterms:W3CDTF">2017-08-18T01:39:14Z</dcterms:created>
  <dcterms:modified xsi:type="dcterms:W3CDTF">2018-02-28T02:41:49Z</dcterms:modified>
</cp:coreProperties>
</file>