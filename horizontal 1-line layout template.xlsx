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\Documents\Metalog Ribbon\"/>
    </mc:Choice>
  </mc:AlternateContent>
  <xr:revisionPtr revIDLastSave="0" documentId="13_ncr:1_{552BC77E-4D30-4AA4-BA54-EAECAF552212}" xr6:coauthVersionLast="41" xr6:coauthVersionMax="41" xr10:uidLastSave="{00000000-0000-0000-0000-000000000000}"/>
  <bookViews>
    <workbookView xWindow="4420" yWindow="2490" windowWidth="28630" windowHeight="15460" xr2:uid="{00000000-000D-0000-FFFF-FFFF00000000}"/>
  </bookViews>
  <sheets>
    <sheet name="horizontal one-line layout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M_sparklinesForInputs" hidden="1">TRUE</definedName>
    <definedName name="PM_sparklinesForOutputs" hidden="1">TRUE</definedName>
    <definedName name="PM_sparklinesIONumberOfBins" hidden="1">10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F31" i="1"/>
  <c r="F26" i="1"/>
  <c r="E33" i="1" s="1"/>
  <c r="E26" i="1"/>
  <c r="E32" i="1" s="1"/>
  <c r="D26" i="1"/>
  <c r="F25" i="1"/>
  <c r="E25" i="1"/>
  <c r="D34" i="1" s="1"/>
  <c r="D24" i="1"/>
  <c r="E23" i="1" s="1"/>
  <c r="S7" i="1"/>
  <c r="W6" i="1"/>
  <c r="V6" i="1"/>
  <c r="U6" i="1"/>
  <c r="T6" i="1"/>
  <c r="R6" i="1"/>
  <c r="S6" i="1" s="1"/>
  <c r="Q6" i="1"/>
  <c r="P6" i="1"/>
  <c r="O6" i="1"/>
  <c r="L6" i="1"/>
  <c r="W5" i="1"/>
  <c r="V5" i="1"/>
  <c r="U5" i="1"/>
  <c r="T5" i="1"/>
  <c r="R5" i="1"/>
  <c r="S5" i="1" s="1"/>
  <c r="Q5" i="1"/>
  <c r="P5" i="1"/>
  <c r="O5" i="1"/>
  <c r="L5" i="1"/>
  <c r="M5" i="1" s="1"/>
  <c r="N5" i="1"/>
  <c r="N6" i="1" s="1"/>
  <c r="T4" i="1"/>
  <c r="R4" i="1"/>
  <c r="S4" i="1" s="1"/>
  <c r="O4" i="1"/>
  <c r="L4" i="1"/>
  <c r="F27" i="1" s="1"/>
  <c r="D139" i="1" l="1"/>
  <c r="D27" i="1"/>
  <c r="E34" i="1" s="1"/>
  <c r="M6" i="1"/>
  <c r="F23" i="1"/>
  <c r="D38" i="1"/>
  <c r="E38" i="1" s="1"/>
  <c r="D54" i="1"/>
  <c r="D70" i="1"/>
  <c r="F70" i="1" s="1"/>
  <c r="D86" i="1"/>
  <c r="D102" i="1"/>
  <c r="D118" i="1"/>
  <c r="D134" i="1"/>
  <c r="M4" i="1"/>
  <c r="D50" i="1"/>
  <c r="D66" i="1"/>
  <c r="D82" i="1"/>
  <c r="E82" i="1" s="1"/>
  <c r="D98" i="1"/>
  <c r="D114" i="1"/>
  <c r="D130" i="1"/>
  <c r="F143" i="1"/>
  <c r="D62" i="1"/>
  <c r="E62" i="1" s="1"/>
  <c r="D94" i="1"/>
  <c r="F94" i="1" s="1"/>
  <c r="D110" i="1"/>
  <c r="F110" i="1" s="1"/>
  <c r="D126" i="1"/>
  <c r="E126" i="1" s="1"/>
  <c r="D141" i="1"/>
  <c r="D135" i="1"/>
  <c r="D131" i="1"/>
  <c r="D127" i="1"/>
  <c r="D123" i="1"/>
  <c r="F123" i="1" s="1"/>
  <c r="D119" i="1"/>
  <c r="D115" i="1"/>
  <c r="D111" i="1"/>
  <c r="F111" i="1" s="1"/>
  <c r="D107" i="1"/>
  <c r="D103" i="1"/>
  <c r="D99" i="1"/>
  <c r="D95" i="1"/>
  <c r="D91" i="1"/>
  <c r="F91" i="1" s="1"/>
  <c r="D87" i="1"/>
  <c r="D83" i="1"/>
  <c r="E83" i="1" s="1"/>
  <c r="D79" i="1"/>
  <c r="F79" i="1" s="1"/>
  <c r="D75" i="1"/>
  <c r="D71" i="1"/>
  <c r="D67" i="1"/>
  <c r="D63" i="1"/>
  <c r="D59" i="1"/>
  <c r="F59" i="1" s="1"/>
  <c r="D55" i="1"/>
  <c r="D51" i="1"/>
  <c r="E51" i="1" s="1"/>
  <c r="D47" i="1"/>
  <c r="F47" i="1" s="1"/>
  <c r="D43" i="1"/>
  <c r="D39" i="1"/>
  <c r="F39" i="1" s="1"/>
  <c r="D138" i="1"/>
  <c r="D136" i="1"/>
  <c r="D132" i="1"/>
  <c r="F132" i="1" s="1"/>
  <c r="D128" i="1"/>
  <c r="D124" i="1"/>
  <c r="D120" i="1"/>
  <c r="F120" i="1" s="1"/>
  <c r="D116" i="1"/>
  <c r="E116" i="1" s="1"/>
  <c r="D112" i="1"/>
  <c r="F112" i="1" s="1"/>
  <c r="D108" i="1"/>
  <c r="E108" i="1" s="1"/>
  <c r="D104" i="1"/>
  <c r="D100" i="1"/>
  <c r="F100" i="1" s="1"/>
  <c r="D96" i="1"/>
  <c r="D92" i="1"/>
  <c r="D88" i="1"/>
  <c r="F88" i="1" s="1"/>
  <c r="D84" i="1"/>
  <c r="E84" i="1" s="1"/>
  <c r="D80" i="1"/>
  <c r="F80" i="1" s="1"/>
  <c r="D76" i="1"/>
  <c r="E76" i="1" s="1"/>
  <c r="D72" i="1"/>
  <c r="D68" i="1"/>
  <c r="F68" i="1" s="1"/>
  <c r="D64" i="1"/>
  <c r="D60" i="1"/>
  <c r="D56" i="1"/>
  <c r="F56" i="1" s="1"/>
  <c r="D52" i="1"/>
  <c r="E52" i="1" s="1"/>
  <c r="D48" i="1"/>
  <c r="F48" i="1" s="1"/>
  <c r="D44" i="1"/>
  <c r="E44" i="1" s="1"/>
  <c r="D40" i="1"/>
  <c r="E139" i="1"/>
  <c r="D140" i="1"/>
  <c r="D142" i="1"/>
  <c r="F142" i="1" s="1"/>
  <c r="F139" i="1"/>
  <c r="D137" i="1"/>
  <c r="F137" i="1" s="1"/>
  <c r="D133" i="1"/>
  <c r="F133" i="1" s="1"/>
  <c r="D129" i="1"/>
  <c r="E129" i="1" s="1"/>
  <c r="D125" i="1"/>
  <c r="F125" i="1" s="1"/>
  <c r="D121" i="1"/>
  <c r="E121" i="1" s="1"/>
  <c r="D117" i="1"/>
  <c r="D113" i="1"/>
  <c r="E113" i="1" s="1"/>
  <c r="D109" i="1"/>
  <c r="E109" i="1" s="1"/>
  <c r="D105" i="1"/>
  <c r="F105" i="1" s="1"/>
  <c r="D101" i="1"/>
  <c r="F101" i="1" s="1"/>
  <c r="D97" i="1"/>
  <c r="E97" i="1" s="1"/>
  <c r="D93" i="1"/>
  <c r="F93" i="1" s="1"/>
  <c r="D89" i="1"/>
  <c r="E89" i="1" s="1"/>
  <c r="D85" i="1"/>
  <c r="F85" i="1" s="1"/>
  <c r="D81" i="1"/>
  <c r="F81" i="1" s="1"/>
  <c r="D77" i="1"/>
  <c r="E77" i="1" s="1"/>
  <c r="D73" i="1"/>
  <c r="F73" i="1" s="1"/>
  <c r="D69" i="1"/>
  <c r="F69" i="1" s="1"/>
  <c r="D65" i="1"/>
  <c r="F65" i="1" s="1"/>
  <c r="D61" i="1"/>
  <c r="F61" i="1" s="1"/>
  <c r="D57" i="1"/>
  <c r="E57" i="1" s="1"/>
  <c r="D53" i="1"/>
  <c r="F53" i="1" s="1"/>
  <c r="D49" i="1"/>
  <c r="E49" i="1" s="1"/>
  <c r="D45" i="1"/>
  <c r="E45" i="1" s="1"/>
  <c r="D41" i="1"/>
  <c r="E41" i="1" s="1"/>
  <c r="E135" i="1"/>
  <c r="E131" i="1"/>
  <c r="E103" i="1"/>
  <c r="E99" i="1"/>
  <c r="E67" i="1"/>
  <c r="D46" i="1"/>
  <c r="F46" i="1" s="1"/>
  <c r="D78" i="1"/>
  <c r="E78" i="1" s="1"/>
  <c r="D42" i="1"/>
  <c r="F42" i="1" s="1"/>
  <c r="D58" i="1"/>
  <c r="F58" i="1" s="1"/>
  <c r="D74" i="1"/>
  <c r="E74" i="1" s="1"/>
  <c r="D90" i="1"/>
  <c r="E90" i="1" s="1"/>
  <c r="D106" i="1"/>
  <c r="E106" i="1" s="1"/>
  <c r="D122" i="1"/>
  <c r="E122" i="1" s="1"/>
  <c r="D32" i="1"/>
  <c r="P4" i="1"/>
  <c r="F24" i="1" s="1"/>
  <c r="D37" i="1"/>
  <c r="Q4" i="1"/>
  <c r="U4" i="1" s="1"/>
  <c r="U7" i="1" s="1"/>
  <c r="D31" i="1"/>
  <c r="E37" i="1"/>
  <c r="D143" i="1"/>
  <c r="E31" i="1"/>
  <c r="F37" i="1"/>
  <c r="E143" i="1"/>
  <c r="E123" i="1" l="1"/>
  <c r="F38" i="1"/>
  <c r="F71" i="1"/>
  <c r="F103" i="1"/>
  <c r="F135" i="1"/>
  <c r="E114" i="1"/>
  <c r="E102" i="1"/>
  <c r="E60" i="1"/>
  <c r="E92" i="1"/>
  <c r="F117" i="1"/>
  <c r="F140" i="1"/>
  <c r="F64" i="1"/>
  <c r="E96" i="1"/>
  <c r="E59" i="1"/>
  <c r="F40" i="1"/>
  <c r="F72" i="1"/>
  <c r="F104" i="1"/>
  <c r="F136" i="1"/>
  <c r="E24" i="1"/>
  <c r="E27" i="1"/>
  <c r="F82" i="1"/>
  <c r="F43" i="1"/>
  <c r="E75" i="1"/>
  <c r="F107" i="1"/>
  <c r="F141" i="1"/>
  <c r="E98" i="1"/>
  <c r="E86" i="1"/>
  <c r="E124" i="1"/>
  <c r="F51" i="1"/>
  <c r="F83" i="1"/>
  <c r="F115" i="1"/>
  <c r="E110" i="1"/>
  <c r="E66" i="1"/>
  <c r="F54" i="1"/>
  <c r="E128" i="1"/>
  <c r="E55" i="1"/>
  <c r="E87" i="1"/>
  <c r="E119" i="1"/>
  <c r="E94" i="1"/>
  <c r="E50" i="1"/>
  <c r="E79" i="1"/>
  <c r="E63" i="1"/>
  <c r="F95" i="1"/>
  <c r="E127" i="1"/>
  <c r="E134" i="1"/>
  <c r="E138" i="1"/>
  <c r="F67" i="1"/>
  <c r="F99" i="1"/>
  <c r="F131" i="1"/>
  <c r="F130" i="1"/>
  <c r="F118" i="1"/>
  <c r="E43" i="1"/>
  <c r="E107" i="1"/>
  <c r="F114" i="1"/>
  <c r="E132" i="1"/>
  <c r="E118" i="1"/>
  <c r="E54" i="1"/>
  <c r="E142" i="1"/>
  <c r="I35" i="1" s="1"/>
  <c r="E80" i="1"/>
  <c r="E95" i="1"/>
  <c r="E81" i="1"/>
  <c r="F102" i="1"/>
  <c r="F63" i="1"/>
  <c r="E40" i="1"/>
  <c r="E48" i="1"/>
  <c r="E115" i="1"/>
  <c r="E73" i="1"/>
  <c r="F121" i="1"/>
  <c r="E68" i="1"/>
  <c r="F44" i="1"/>
  <c r="E105" i="1"/>
  <c r="F49" i="1"/>
  <c r="E104" i="1"/>
  <c r="F128" i="1"/>
  <c r="E137" i="1"/>
  <c r="E112" i="1"/>
  <c r="F52" i="1"/>
  <c r="F108" i="1"/>
  <c r="F60" i="1"/>
  <c r="E141" i="1"/>
  <c r="F119" i="1"/>
  <c r="E47" i="1"/>
  <c r="F57" i="1"/>
  <c r="F113" i="1"/>
  <c r="F97" i="1"/>
  <c r="E140" i="1"/>
  <c r="E100" i="1"/>
  <c r="F76" i="1"/>
  <c r="E65" i="1"/>
  <c r="F127" i="1"/>
  <c r="F116" i="1"/>
  <c r="F92" i="1"/>
  <c r="F75" i="1"/>
  <c r="E91" i="1"/>
  <c r="F138" i="1"/>
  <c r="F41" i="1"/>
  <c r="E64" i="1"/>
  <c r="E42" i="1"/>
  <c r="F96" i="1"/>
  <c r="E71" i="1"/>
  <c r="E117" i="1"/>
  <c r="F129" i="1"/>
  <c r="F84" i="1"/>
  <c r="F50" i="1"/>
  <c r="E39" i="1"/>
  <c r="E111" i="1"/>
  <c r="F86" i="1"/>
  <c r="F126" i="1"/>
  <c r="F89" i="1"/>
  <c r="E72" i="1"/>
  <c r="E136" i="1"/>
  <c r="F124" i="1"/>
  <c r="E58" i="1"/>
  <c r="F55" i="1"/>
  <c r="F74" i="1"/>
  <c r="F90" i="1"/>
  <c r="F106" i="1"/>
  <c r="F122" i="1"/>
  <c r="E61" i="1"/>
  <c r="E93" i="1"/>
  <c r="E125" i="1"/>
  <c r="E46" i="1"/>
  <c r="E70" i="1"/>
  <c r="W4" i="1"/>
  <c r="W7" i="1" s="1"/>
  <c r="V4" i="1"/>
  <c r="V7" i="1" s="1"/>
  <c r="F62" i="1"/>
  <c r="F78" i="1"/>
  <c r="E69" i="1"/>
  <c r="E133" i="1"/>
  <c r="F45" i="1"/>
  <c r="F77" i="1"/>
  <c r="F109" i="1"/>
  <c r="E101" i="1"/>
  <c r="E130" i="1"/>
  <c r="F66" i="1"/>
  <c r="F98" i="1"/>
  <c r="F87" i="1"/>
  <c r="K136" i="1"/>
  <c r="K37" i="1"/>
  <c r="F134" i="1"/>
  <c r="E53" i="1"/>
  <c r="E85" i="1"/>
  <c r="E56" i="1"/>
  <c r="E88" i="1"/>
  <c r="E120" i="1"/>
  <c r="I37" i="1" l="1"/>
  <c r="I38" i="1" s="1"/>
  <c r="E35" i="1"/>
  <c r="D35" i="1"/>
  <c r="Q7" i="1"/>
  <c r="O7" i="1" s="1"/>
  <c r="I7" i="1" l="1"/>
  <c r="P7" i="1"/>
  <c r="J7" i="1" s="1"/>
  <c r="J38" i="1"/>
  <c r="K38" i="1" s="1"/>
  <c r="I39" i="1"/>
  <c r="J39" i="1" l="1"/>
  <c r="K39" i="1" s="1"/>
  <c r="I40" i="1"/>
  <c r="H7" i="1"/>
  <c r="L7" i="1" s="1"/>
  <c r="M7" i="1" s="1"/>
  <c r="I41" i="1" l="1"/>
  <c r="J40" i="1"/>
  <c r="K40" i="1" s="1"/>
  <c r="J41" i="1" l="1"/>
  <c r="K41" i="1" s="1"/>
  <c r="I42" i="1"/>
  <c r="J42" i="1" l="1"/>
  <c r="K42" i="1" s="1"/>
  <c r="I43" i="1"/>
  <c r="J43" i="1" l="1"/>
  <c r="K43" i="1" s="1"/>
  <c r="I44" i="1"/>
  <c r="I45" i="1" l="1"/>
  <c r="J44" i="1"/>
  <c r="K44" i="1" s="1"/>
  <c r="J45" i="1" l="1"/>
  <c r="K45" i="1" s="1"/>
  <c r="I46" i="1"/>
  <c r="J46" i="1" l="1"/>
  <c r="K46" i="1" s="1"/>
  <c r="I47" i="1"/>
  <c r="J47" i="1" l="1"/>
  <c r="K47" i="1" s="1"/>
  <c r="I48" i="1"/>
  <c r="I49" i="1" l="1"/>
  <c r="J48" i="1"/>
  <c r="K48" i="1" s="1"/>
  <c r="J49" i="1" l="1"/>
  <c r="K49" i="1" s="1"/>
  <c r="I50" i="1"/>
  <c r="J50" i="1" l="1"/>
  <c r="K50" i="1" s="1"/>
  <c r="I51" i="1"/>
  <c r="J51" i="1" l="1"/>
  <c r="K51" i="1" s="1"/>
  <c r="I52" i="1"/>
  <c r="I53" i="1" l="1"/>
  <c r="J52" i="1"/>
  <c r="K52" i="1" s="1"/>
  <c r="J53" i="1" l="1"/>
  <c r="K53" i="1" s="1"/>
  <c r="I54" i="1"/>
  <c r="J54" i="1" l="1"/>
  <c r="K54" i="1" s="1"/>
  <c r="I55" i="1"/>
  <c r="J55" i="1" l="1"/>
  <c r="K55" i="1" s="1"/>
  <c r="I56" i="1"/>
  <c r="I57" i="1" l="1"/>
  <c r="J56" i="1"/>
  <c r="K56" i="1" s="1"/>
  <c r="J57" i="1" l="1"/>
  <c r="K57" i="1" s="1"/>
  <c r="I58" i="1"/>
  <c r="J58" i="1" l="1"/>
  <c r="K58" i="1" s="1"/>
  <c r="I59" i="1"/>
  <c r="J59" i="1" l="1"/>
  <c r="K59" i="1" s="1"/>
  <c r="I60" i="1"/>
  <c r="I61" i="1" l="1"/>
  <c r="J60" i="1"/>
  <c r="K60" i="1" s="1"/>
  <c r="J61" i="1" l="1"/>
  <c r="K61" i="1" s="1"/>
  <c r="I62" i="1"/>
  <c r="J62" i="1" l="1"/>
  <c r="K62" i="1" s="1"/>
  <c r="I63" i="1"/>
  <c r="J63" i="1" l="1"/>
  <c r="K63" i="1" s="1"/>
  <c r="I64" i="1"/>
  <c r="I65" i="1" l="1"/>
  <c r="J64" i="1"/>
  <c r="K64" i="1" s="1"/>
  <c r="J65" i="1" l="1"/>
  <c r="K65" i="1" s="1"/>
  <c r="I66" i="1"/>
  <c r="J66" i="1" l="1"/>
  <c r="K66" i="1" s="1"/>
  <c r="I67" i="1"/>
  <c r="J67" i="1" l="1"/>
  <c r="K67" i="1" s="1"/>
  <c r="I68" i="1"/>
  <c r="I69" i="1" l="1"/>
  <c r="J68" i="1"/>
  <c r="K68" i="1" s="1"/>
  <c r="J69" i="1" l="1"/>
  <c r="K69" i="1" s="1"/>
  <c r="I70" i="1"/>
  <c r="J70" i="1" l="1"/>
  <c r="K70" i="1" s="1"/>
  <c r="I71" i="1"/>
  <c r="J71" i="1" l="1"/>
  <c r="K71" i="1" s="1"/>
  <c r="I72" i="1"/>
  <c r="I73" i="1" l="1"/>
  <c r="J72" i="1"/>
  <c r="K72" i="1" s="1"/>
  <c r="J73" i="1" l="1"/>
  <c r="K73" i="1" s="1"/>
  <c r="I74" i="1"/>
  <c r="J74" i="1" l="1"/>
  <c r="K74" i="1" s="1"/>
  <c r="I75" i="1"/>
  <c r="J75" i="1" l="1"/>
  <c r="K75" i="1" s="1"/>
  <c r="I76" i="1"/>
  <c r="I77" i="1" l="1"/>
  <c r="J76" i="1"/>
  <c r="K76" i="1" s="1"/>
  <c r="J77" i="1" l="1"/>
  <c r="K77" i="1" s="1"/>
  <c r="I78" i="1"/>
  <c r="J78" i="1" l="1"/>
  <c r="K78" i="1" s="1"/>
  <c r="I79" i="1"/>
  <c r="J79" i="1" l="1"/>
  <c r="K79" i="1" s="1"/>
  <c r="I80" i="1"/>
  <c r="I81" i="1" l="1"/>
  <c r="J80" i="1"/>
  <c r="K80" i="1" s="1"/>
  <c r="J81" i="1" l="1"/>
  <c r="K81" i="1" s="1"/>
  <c r="I82" i="1"/>
  <c r="J82" i="1" l="1"/>
  <c r="K82" i="1" s="1"/>
  <c r="I83" i="1"/>
  <c r="J83" i="1" l="1"/>
  <c r="K83" i="1" s="1"/>
  <c r="I84" i="1"/>
  <c r="I85" i="1" l="1"/>
  <c r="J84" i="1"/>
  <c r="K84" i="1" s="1"/>
  <c r="J85" i="1" l="1"/>
  <c r="K85" i="1" s="1"/>
  <c r="I86" i="1"/>
  <c r="J86" i="1" l="1"/>
  <c r="K86" i="1" s="1"/>
  <c r="I87" i="1"/>
  <c r="J87" i="1" l="1"/>
  <c r="K87" i="1" s="1"/>
  <c r="I88" i="1"/>
  <c r="I89" i="1" l="1"/>
  <c r="J88" i="1"/>
  <c r="K88" i="1" s="1"/>
  <c r="J89" i="1" l="1"/>
  <c r="K89" i="1" s="1"/>
  <c r="I90" i="1"/>
  <c r="J90" i="1" l="1"/>
  <c r="K90" i="1" s="1"/>
  <c r="I91" i="1"/>
  <c r="J91" i="1" l="1"/>
  <c r="K91" i="1" s="1"/>
  <c r="I92" i="1"/>
  <c r="I93" i="1" l="1"/>
  <c r="J92" i="1"/>
  <c r="K92" i="1" s="1"/>
  <c r="J93" i="1" l="1"/>
  <c r="K93" i="1" s="1"/>
  <c r="I94" i="1"/>
  <c r="J94" i="1" l="1"/>
  <c r="K94" i="1" s="1"/>
  <c r="I95" i="1"/>
  <c r="J95" i="1" l="1"/>
  <c r="K95" i="1" s="1"/>
  <c r="I96" i="1"/>
  <c r="I97" i="1" l="1"/>
  <c r="J96" i="1"/>
  <c r="K96" i="1" s="1"/>
  <c r="J97" i="1" l="1"/>
  <c r="K97" i="1" s="1"/>
  <c r="I98" i="1"/>
  <c r="J98" i="1" l="1"/>
  <c r="K98" i="1" s="1"/>
  <c r="I99" i="1"/>
  <c r="J99" i="1" l="1"/>
  <c r="K99" i="1" s="1"/>
  <c r="I100" i="1"/>
  <c r="I101" i="1" l="1"/>
  <c r="J100" i="1"/>
  <c r="K100" i="1" s="1"/>
  <c r="J101" i="1" l="1"/>
  <c r="K101" i="1" s="1"/>
  <c r="I102" i="1"/>
  <c r="J102" i="1" l="1"/>
  <c r="K102" i="1" s="1"/>
  <c r="I103" i="1"/>
  <c r="J103" i="1" l="1"/>
  <c r="K103" i="1" s="1"/>
  <c r="I104" i="1"/>
  <c r="I105" i="1" l="1"/>
  <c r="J104" i="1"/>
  <c r="K104" i="1" s="1"/>
  <c r="J105" i="1" l="1"/>
  <c r="K105" i="1" s="1"/>
  <c r="I106" i="1"/>
  <c r="J106" i="1" l="1"/>
  <c r="K106" i="1" s="1"/>
  <c r="I107" i="1"/>
  <c r="J107" i="1" l="1"/>
  <c r="K107" i="1" s="1"/>
  <c r="I108" i="1"/>
  <c r="I109" i="1" l="1"/>
  <c r="J108" i="1"/>
  <c r="K108" i="1" s="1"/>
  <c r="J109" i="1" l="1"/>
  <c r="K109" i="1" s="1"/>
  <c r="I110" i="1"/>
  <c r="J110" i="1" l="1"/>
  <c r="K110" i="1" s="1"/>
  <c r="I111" i="1"/>
  <c r="J111" i="1" l="1"/>
  <c r="K111" i="1" s="1"/>
  <c r="I112" i="1"/>
  <c r="I113" i="1" l="1"/>
  <c r="J112" i="1"/>
  <c r="K112" i="1" s="1"/>
  <c r="J113" i="1" l="1"/>
  <c r="K113" i="1" s="1"/>
  <c r="I114" i="1"/>
  <c r="J114" i="1" l="1"/>
  <c r="K114" i="1" s="1"/>
  <c r="I115" i="1"/>
  <c r="J115" i="1" l="1"/>
  <c r="K115" i="1" s="1"/>
  <c r="I116" i="1"/>
  <c r="I117" i="1" l="1"/>
  <c r="J116" i="1"/>
  <c r="K116" i="1" s="1"/>
  <c r="J117" i="1" l="1"/>
  <c r="K117" i="1" s="1"/>
  <c r="I118" i="1"/>
  <c r="J118" i="1" l="1"/>
  <c r="K118" i="1" s="1"/>
  <c r="I119" i="1"/>
  <c r="J119" i="1" l="1"/>
  <c r="K119" i="1" s="1"/>
  <c r="I120" i="1"/>
  <c r="I121" i="1" l="1"/>
  <c r="J120" i="1"/>
  <c r="K120" i="1" s="1"/>
  <c r="J121" i="1" l="1"/>
  <c r="K121" i="1" s="1"/>
  <c r="I122" i="1"/>
  <c r="J122" i="1" l="1"/>
  <c r="K122" i="1" s="1"/>
  <c r="I123" i="1"/>
  <c r="J123" i="1" l="1"/>
  <c r="K123" i="1" s="1"/>
  <c r="I124" i="1"/>
  <c r="I125" i="1" l="1"/>
  <c r="J124" i="1"/>
  <c r="K124" i="1" s="1"/>
  <c r="J125" i="1" l="1"/>
  <c r="K125" i="1" s="1"/>
  <c r="I126" i="1"/>
  <c r="J126" i="1" l="1"/>
  <c r="K126" i="1" s="1"/>
  <c r="I127" i="1"/>
  <c r="J127" i="1" l="1"/>
  <c r="K127" i="1" s="1"/>
  <c r="I128" i="1"/>
  <c r="I129" i="1" l="1"/>
  <c r="J128" i="1"/>
  <c r="K128" i="1" s="1"/>
  <c r="J129" i="1" l="1"/>
  <c r="K129" i="1" s="1"/>
  <c r="I130" i="1"/>
  <c r="J130" i="1" l="1"/>
  <c r="K130" i="1" s="1"/>
  <c r="I131" i="1"/>
  <c r="J131" i="1" l="1"/>
  <c r="K131" i="1" s="1"/>
  <c r="I132" i="1"/>
  <c r="I133" i="1" l="1"/>
  <c r="J132" i="1"/>
  <c r="K132" i="1" s="1"/>
  <c r="J133" i="1" l="1"/>
  <c r="K133" i="1" s="1"/>
  <c r="I134" i="1"/>
  <c r="J134" i="1" l="1"/>
  <c r="K134" i="1" s="1"/>
  <c r="I135" i="1"/>
  <c r="J135" i="1" l="1"/>
  <c r="K135" i="1" s="1"/>
  <c r="I136" i="1"/>
  <c r="J1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N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Prepared by Tom Keelin, April 15, 2017.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<sst xmlns="http://schemas.openxmlformats.org/spreadsheetml/2006/main" count="50" uniqueCount="49">
  <si>
    <t>plot:</t>
  </si>
  <si>
    <t>on=1,off=0 -&gt;</t>
  </si>
  <si>
    <t>metalog distribution</t>
  </si>
  <si>
    <t>tutorial</t>
  </si>
  <si>
    <t>intermediate calculations</t>
  </si>
  <si>
    <t>moments</t>
  </si>
  <si>
    <t>var name</t>
  </si>
  <si>
    <t>CDF-x</t>
  </si>
  <si>
    <t>prob-y</t>
  </si>
  <si>
    <t>low prob</t>
  </si>
  <si>
    <t>bounds</t>
  </si>
  <si>
    <t>lower bnd</t>
  </si>
  <si>
    <t>low</t>
  </si>
  <si>
    <t>median</t>
  </si>
  <si>
    <t>high</t>
  </si>
  <si>
    <t>upper bnd</t>
  </si>
  <si>
    <t>message</t>
  </si>
  <si>
    <r>
      <t>a</t>
    </r>
    <r>
      <rPr>
        <vertAlign val="subscript"/>
        <sz val="11"/>
        <color theme="1"/>
        <rFont val="Calibri"/>
        <family val="2"/>
        <scheme val="minor"/>
      </rPr>
      <t>1</t>
    </r>
  </si>
  <si>
    <r>
      <t>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</si>
  <si>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</si>
  <si>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a</t>
  </si>
  <si>
    <r>
      <t>k</t>
    </r>
    <r>
      <rPr>
        <vertAlign val="subscript"/>
        <sz val="11"/>
        <color theme="1"/>
        <rFont val="Symbol"/>
        <family val="1"/>
        <charset val="2"/>
      </rPr>
      <t>a</t>
    </r>
  </si>
  <si>
    <t>r</t>
  </si>
  <si>
    <t>mean</t>
  </si>
  <si>
    <t>variance</t>
  </si>
  <si>
    <t>skewness</t>
  </si>
  <si>
    <t>metalog_1</t>
  </si>
  <si>
    <t>u</t>
  </si>
  <si>
    <t>metalog_2</t>
  </si>
  <si>
    <t>sl</t>
  </si>
  <si>
    <t>metalog_3</t>
  </si>
  <si>
    <t>su</t>
  </si>
  <si>
    <t>sum</t>
  </si>
  <si>
    <t>metalog chart data</t>
  </si>
  <si>
    <t>plot</t>
  </si>
  <si>
    <t>plot data</t>
  </si>
  <si>
    <t>probability</t>
  </si>
  <si>
    <t>CDF</t>
  </si>
  <si>
    <t>PDF</t>
  </si>
  <si>
    <t>input data</t>
  </si>
  <si>
    <t>sparkline pdf</t>
  </si>
  <si>
    <t xml:space="preserve"> </t>
  </si>
  <si>
    <t>cumulative and density data</t>
  </si>
  <si>
    <t>index</t>
  </si>
  <si>
    <t>x</t>
  </si>
  <si>
    <t>lo index</t>
  </si>
  <si>
    <t>y'</t>
  </si>
  <si>
    <t>show input data</t>
  </si>
  <si>
    <t>Version 7, 2019 Dec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</si>
</sst>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CCFFCC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2" fillId="2" borderId="4" xfId="0" applyFont="1" applyFill="1" applyBorder="1" applyAlignment="1">
      <alignment horizontal="centerContinuous"/>
    </xf>
    <xf numFmtId="0" fontId="4" fillId="2" borderId="5" xfId="1" applyFont="1" applyFill="1" applyBorder="1" applyAlignment="1">
      <alignment horizontal="center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7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2" fillId="0" borderId="0" xfId="0" applyFont="1"/>
    <xf numFmtId="0" fontId="10" fillId="0" borderId="0" xfId="0" applyFont="1"/>
    <xf numFmtId="0" fontId="0" fillId="2" borderId="9" xfId="0" applyFill="1" applyBorder="1" applyAlignment="1">
      <alignment horizontal="centerContinuous"/>
    </xf>
    <xf numFmtId="0" fontId="0" fillId="2" borderId="10" xfId="0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8" fillId="3" borderId="7" xfId="0" applyFont="1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right"/>
    </xf>
    <xf numFmtId="1" fontId="12" fillId="2" borderId="7" xfId="0" applyNumberFormat="1" applyFont="1" applyFill="1" applyBorder="1" applyAlignment="1">
      <alignment horizontal="center"/>
    </xf>
    <xf numFmtId="1" fontId="13" fillId="2" borderId="0" xfId="0" applyNumberFormat="1" applyFont="1" applyFill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0" fillId="3" borderId="12" xfId="0" applyFill="1" applyBorder="1" applyAlignment="1">
      <alignment horizontal="centerContinuous"/>
    </xf>
    <xf numFmtId="0" fontId="0" fillId="3" borderId="13" xfId="0" applyFill="1" applyBorder="1" applyAlignment="1">
      <alignment horizontal="centerContinuous"/>
    </xf>
    <xf numFmtId="164" fontId="0" fillId="2" borderId="7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Continuous"/>
    </xf>
    <xf numFmtId="0" fontId="0" fillId="2" borderId="5" xfId="0" applyFill="1" applyBorder="1"/>
    <xf numFmtId="164" fontId="0" fillId="2" borderId="11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2" fontId="15" fillId="2" borderId="10" xfId="0" applyNumberFormat="1" applyFont="1" applyFill="1" applyBorder="1" applyAlignment="1">
      <alignment horizontal="centerContinuous"/>
    </xf>
    <xf numFmtId="0" fontId="0" fillId="2" borderId="10" xfId="0" applyFont="1" applyFill="1" applyBorder="1" applyAlignment="1">
      <alignment horizontal="centerContinuous"/>
    </xf>
    <xf numFmtId="0" fontId="0" fillId="2" borderId="8" xfId="0" applyFont="1" applyFill="1" applyBorder="1" applyAlignment="1">
      <alignment horizontal="centerContinuous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164" fontId="0" fillId="2" borderId="9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1" fontId="0" fillId="0" borderId="10" xfId="0" applyNumberFormat="1" applyFill="1" applyBorder="1" applyAlignment="1">
      <alignment horizontal="center"/>
    </xf>
    <xf numFmtId="166" fontId="0" fillId="0" borderId="10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3" borderId="0" xfId="0" applyNumberFormat="1" applyFill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/>
    </xf>
    <xf numFmtId="2" fontId="18" fillId="4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ont>
        <strike val="0"/>
        <color rgb="FFCCFFCC"/>
      </font>
    </dxf>
    <dxf>
      <font>
        <strike val="0"/>
        <color rgb="FFCCFFCC"/>
      </font>
    </dxf>
    <dxf>
      <font>
        <strike val="0"/>
        <color rgb="FFCCFFCC"/>
      </font>
    </dxf>
    <dxf>
      <font>
        <strike val="0"/>
        <color rgb="FFFF0000"/>
      </font>
      <fill>
        <patternFill>
          <bgColor rgb="FFFFFF00"/>
        </patternFill>
      </fill>
    </dxf>
    <dxf>
      <font>
        <strike/>
        <color rgb="FFCCFFCC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strike/>
        <color rgb="FFCCFFCC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strike/>
        <color rgb="FFCCFFCC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strike/>
        <color rgb="FFCCFFCC"/>
      </font>
    </dxf>
    <dxf>
      <font>
        <strike val="0"/>
        <color rgb="FFFF0000"/>
      </font>
      <fill>
        <patternFill>
          <bgColor rgb="FFFFFF00"/>
        </patternFill>
      </fill>
    </dxf>
    <dxf>
      <font>
        <strike/>
        <color rgb="FFCCFF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'horizontal one-line layout'!$E$23</c:f>
          <c:strCache>
            <c:ptCount val="1"/>
            <c:pt idx="0">
              <c:v>metalog_1 CDF</c:v>
            </c:pt>
          </c:strCache>
        </c:strRef>
      </c:tx>
      <c:layout>
        <c:manualLayout>
          <c:xMode val="edge"/>
          <c:yMode val="edge"/>
          <c:x val="0.29668900123321329"/>
          <c:y val="3.89303012858824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37890609646246"/>
          <c:y val="0.14278921275191481"/>
          <c:w val="0.81867713519631113"/>
          <c:h val="0.62994047825159871"/>
        </c:manualLayout>
      </c:layout>
      <c:scatterChart>
        <c:scatterStyle val="smoothMarker"/>
        <c:varyColors val="0"/>
        <c:ser>
          <c:idx val="0"/>
          <c:order val="0"/>
          <c:tx>
            <c:v>metalog</c:v>
          </c:tx>
          <c:spPr>
            <a:ln w="539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'horizontal one-line layout'!$E$37:$E$143</c:f>
              <c:numCache>
                <c:formatCode>0.0</c:formatCode>
                <c:ptCount val="107"/>
                <c:pt idx="0">
                  <c:v>#N/A</c:v>
                </c:pt>
                <c:pt idx="1">
                  <c:v>-8.2610365010519864</c:v>
                </c:pt>
                <c:pt idx="2">
                  <c:v>-1.4332964124621093</c:v>
                </c:pt>
                <c:pt idx="3">
                  <c:v>2.84787365450123</c:v>
                </c:pt>
                <c:pt idx="4">
                  <c:v>5.9828077756563012</c:v>
                </c:pt>
                <c:pt idx="5">
                  <c:v>10.20258751174009</c:v>
                </c:pt>
                <c:pt idx="6">
                  <c:v>12.653675231755811</c:v>
                </c:pt>
                <c:pt idx="7">
                  <c:v>14.388876517410104</c:v>
                </c:pt>
                <c:pt idx="8">
                  <c:v>15.736466011666684</c:v>
                </c:pt>
                <c:pt idx="9">
                  <c:v>16.841973528496915</c:v>
                </c:pt>
                <c:pt idx="10">
                  <c:v>17.782674084550983</c:v>
                </c:pt>
                <c:pt idx="11">
                  <c:v>18.604489434862501</c:v>
                </c:pt>
                <c:pt idx="12">
                  <c:v>19.336913064533029</c:v>
                </c:pt>
                <c:pt idx="13">
                  <c:v>20.000000000000004</c:v>
                </c:pt>
                <c:pt idx="14">
                  <c:v>20.607998646428584</c:v>
                </c:pt>
                <c:pt idx="15">
                  <c:v>21.171390796856084</c:v>
                </c:pt>
                <c:pt idx="16">
                  <c:v>21.698109399096378</c:v>
                </c:pt>
                <c:pt idx="17">
                  <c:v>22.194301951144009</c:v>
                </c:pt>
                <c:pt idx="18">
                  <c:v>22.664828725292452</c:v>
                </c:pt>
                <c:pt idx="19">
                  <c:v>23.113599094104259</c:v>
                </c:pt>
                <c:pt idx="20">
                  <c:v>23.543805184267804</c:v>
                </c:pt>
                <c:pt idx="21">
                  <c:v>23.95808827184036</c:v>
                </c:pt>
                <c:pt idx="22">
                  <c:v>24.358659865173902</c:v>
                </c:pt>
                <c:pt idx="23">
                  <c:v>24.747391504463817</c:v>
                </c:pt>
                <c:pt idx="24">
                  <c:v>25.125882492754148</c:v>
                </c:pt>
                <c:pt idx="25">
                  <c:v>25.495511758163598</c:v>
                </c:pt>
                <c:pt idx="26">
                  <c:v>25.857478108656032</c:v>
                </c:pt>
                <c:pt idx="27">
                  <c:v>26.212831864972564</c:v>
                </c:pt>
                <c:pt idx="28">
                  <c:v>26.5625</c:v>
                </c:pt>
                <c:pt idx="29">
                  <c:v>26.907306325663424</c:v>
                </c:pt>
                <c:pt idx="30">
                  <c:v>27.247987859305795</c:v>
                </c:pt>
                <c:pt idx="31">
                  <c:v>27.585208211963447</c:v>
                </c:pt>
                <c:pt idx="32">
                  <c:v>27.919568633062273</c:v>
                </c:pt>
                <c:pt idx="33">
                  <c:v>28.251617194837557</c:v>
                </c:pt>
                <c:pt idx="34">
                  <c:v>28.581856488437555</c:v>
                </c:pt>
                <c:pt idx="35">
                  <c:v>28.910750120772285</c:v>
                </c:pt>
                <c:pt idx="36">
                  <c:v>29.238728238809827</c:v>
                </c:pt>
                <c:pt idx="37">
                  <c:v>29.566192260665854</c:v>
                </c:pt>
                <c:pt idx="38">
                  <c:v>29.893518956553205</c:v>
                </c:pt>
                <c:pt idx="39">
                  <c:v>30.221063994641806</c:v>
                </c:pt>
                <c:pt idx="40">
                  <c:v>30.549165045084816</c:v>
                </c:pt>
                <c:pt idx="41">
                  <c:v>30.878144518401584</c:v>
                </c:pt>
                <c:pt idx="42">
                  <c:v>31.208312000968295</c:v>
                </c:pt>
                <c:pt idx="43">
                  <c:v>31.539966439732417</c:v>
                </c:pt>
                <c:pt idx="44">
                  <c:v>31.873398119820216</c:v>
                </c:pt>
                <c:pt idx="45">
                  <c:v>32.208890471982215</c:v>
                </c:pt>
                <c:pt idx="46">
                  <c:v>32.546721741465596</c:v>
                </c:pt>
                <c:pt idx="47">
                  <c:v>32.887166545645862</c:v>
                </c:pt>
                <c:pt idx="48">
                  <c:v>33.230497344384908</c:v>
                </c:pt>
                <c:pt idx="49">
                  <c:v>33.576985844452643</c:v>
                </c:pt>
                <c:pt idx="50">
                  <c:v>33.92690435733293</c:v>
                </c:pt>
                <c:pt idx="51">
                  <c:v>34.280527128242461</c:v>
                </c:pt>
                <c:pt idx="52">
                  <c:v>34.638131653155263</c:v>
                </c:pt>
                <c:pt idx="53">
                  <c:v>35</c:v>
                </c:pt>
                <c:pt idx="54">
                  <c:v>35.366420149949697</c:v>
                </c:pt>
                <c:pt idx="55">
                  <c:v>35.737687374840014</c:v>
                </c:pt>
                <c:pt idx="56">
                  <c:v>36.114105667227591</c:v>
                </c:pt>
                <c:pt idx="57">
                  <c:v>36.495989240447223</c:v>
                </c:pt>
                <c:pt idx="58">
                  <c:v>36.883664117267678</c:v>
                </c:pt>
                <c:pt idx="59">
                  <c:v>37.277469827420695</c:v>
                </c:pt>
                <c:pt idx="60">
                  <c:v>37.677761236439508</c:v>
                </c:pt>
                <c:pt idx="61">
                  <c:v>38.084910530967022</c:v>
                </c:pt>
                <c:pt idx="62">
                  <c:v>38.499309389075378</c:v>
                </c:pt>
                <c:pt idx="63">
                  <c:v>38.921371368303262</c:v>
                </c:pt>
                <c:pt idx="64">
                  <c:v>39.351534549224304</c:v>
                </c:pt>
                <c:pt idx="65">
                  <c:v>39.790264478614375</c:v>
                </c:pt>
                <c:pt idx="66">
                  <c:v>40.238057463947804</c:v>
                </c:pt>
                <c:pt idx="67">
                  <c:v>40.695444280358394</c:v>
                </c:pt>
                <c:pt idx="68">
                  <c:v>41.162994362780616</c:v>
                </c:pt>
                <c:pt idx="69">
                  <c:v>41.641320570297296</c:v>
                </c:pt>
                <c:pt idx="70">
                  <c:v>42.131084627487148</c:v>
                </c:pt>
                <c:pt idx="71">
                  <c:v>42.633003369736151</c:v>
                </c:pt>
                <c:pt idx="72">
                  <c:v>43.147855947302673</c:v>
                </c:pt>
                <c:pt idx="73">
                  <c:v>43.676492178065992</c:v>
                </c:pt>
                <c:pt idx="74">
                  <c:v>44.219842283566393</c:v>
                </c:pt>
                <c:pt idx="75">
                  <c:v>44.778928300164154</c:v>
                </c:pt>
                <c:pt idx="76">
                  <c:v>45.354877531000284</c:v>
                </c:pt>
                <c:pt idx="77">
                  <c:v>45.948938500573014</c:v>
                </c:pt>
                <c:pt idx="78">
                  <c:v>46.5625</c:v>
                </c:pt>
                <c:pt idx="79">
                  <c:v>47.197113978470917</c:v>
                </c:pt>
                <c:pt idx="80">
                  <c:v>47.854523260761816</c:v>
                </c:pt>
                <c:pt idx="81">
                  <c:v>48.536695374736695</c:v>
                </c:pt>
                <c:pt idx="82">
                  <c:v>49.245864189843253</c:v>
                </c:pt>
                <c:pt idx="83">
                  <c:v>49.984581647322116</c:v>
                </c:pt>
                <c:pt idx="84">
                  <c:v>50.755782680246398</c:v>
                </c:pt>
                <c:pt idx="85">
                  <c:v>51.562867592239463</c:v>
                </c:pt>
                <c:pt idx="86">
                  <c:v>52.409807869577271</c:v>
                </c:pt>
                <c:pt idx="87">
                  <c:v>53.301283934474398</c:v>
                </c:pt>
                <c:pt idx="88">
                  <c:v>54.242867188543769</c:v>
                </c:pt>
                <c:pt idx="89">
                  <c:v>55.241264657869145</c:v>
                </c:pt>
                <c:pt idx="90">
                  <c:v>56.304654051853767</c:v>
                </c:pt>
                <c:pt idx="91">
                  <c:v>57.443152641167998</c:v>
                </c:pt>
                <c:pt idx="92">
                  <c:v>58.669489829427377</c:v>
                </c:pt>
                <c:pt idx="93">
                  <c:v>60</c:v>
                </c:pt>
                <c:pt idx="94">
                  <c:v>61.456138437217326</c:v>
                </c:pt>
                <c:pt idx="95">
                  <c:v>63.066890967438781</c:v>
                </c:pt>
                <c:pt idx="96">
                  <c:v>64.87279624646284</c:v>
                </c:pt>
                <c:pt idx="97">
                  <c:v>66.933081036091622</c:v>
                </c:pt>
                <c:pt idx="98">
                  <c:v>69.339343196594172</c:v>
                </c:pt>
                <c:pt idx="99">
                  <c:v>72.244661731697533</c:v>
                </c:pt>
                <c:pt idx="100">
                  <c:v>75.93530289404022</c:v>
                </c:pt>
                <c:pt idx="101">
                  <c:v>81.052337478196947</c:v>
                </c:pt>
                <c:pt idx="102">
                  <c:v>89.635974548539039</c:v>
                </c:pt>
                <c:pt idx="103">
                  <c:v>95.873917330447028</c:v>
                </c:pt>
                <c:pt idx="104">
                  <c:v>104.26620360556032</c:v>
                </c:pt>
                <c:pt idx="105">
                  <c:v>117.47494606331345</c:v>
                </c:pt>
                <c:pt idx="106">
                  <c:v>#N/A</c:v>
                </c:pt>
              </c:numCache>
            </c:numRef>
          </c:xVal>
          <c:yVal>
            <c:numRef>
              <c:f>'horizontal one-line layout'!$D$37:$D$143</c:f>
              <c:numCache>
                <c:formatCode>0.000</c:formatCode>
                <c:ptCount val="107"/>
                <c:pt idx="0">
                  <c:v>#N/A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0.01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0.12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0.16</c:v>
                </c:pt>
                <c:pt idx="20">
                  <c:v>0.17</c:v>
                </c:pt>
                <c:pt idx="21">
                  <c:v>0.18</c:v>
                </c:pt>
                <c:pt idx="22">
                  <c:v>0.19</c:v>
                </c:pt>
                <c:pt idx="23">
                  <c:v>0.2</c:v>
                </c:pt>
                <c:pt idx="24">
                  <c:v>0.21</c:v>
                </c:pt>
                <c:pt idx="25">
                  <c:v>0.22</c:v>
                </c:pt>
                <c:pt idx="26">
                  <c:v>0.23</c:v>
                </c:pt>
                <c:pt idx="27">
                  <c:v>0.24</c:v>
                </c:pt>
                <c:pt idx="28">
                  <c:v>0.25</c:v>
                </c:pt>
                <c:pt idx="29">
                  <c:v>0.26</c:v>
                </c:pt>
                <c:pt idx="30">
                  <c:v>0.27</c:v>
                </c:pt>
                <c:pt idx="31">
                  <c:v>0.28000000000000003</c:v>
                </c:pt>
                <c:pt idx="32">
                  <c:v>0.28999999999999998</c:v>
                </c:pt>
                <c:pt idx="33">
                  <c:v>0.3</c:v>
                </c:pt>
                <c:pt idx="34">
                  <c:v>0.31</c:v>
                </c:pt>
                <c:pt idx="35">
                  <c:v>0.32</c:v>
                </c:pt>
                <c:pt idx="36">
                  <c:v>0.33</c:v>
                </c:pt>
                <c:pt idx="37">
                  <c:v>0.34</c:v>
                </c:pt>
                <c:pt idx="38">
                  <c:v>0.35</c:v>
                </c:pt>
                <c:pt idx="39">
                  <c:v>0.36</c:v>
                </c:pt>
                <c:pt idx="40">
                  <c:v>0.37</c:v>
                </c:pt>
                <c:pt idx="41">
                  <c:v>0.38</c:v>
                </c:pt>
                <c:pt idx="42">
                  <c:v>0.39</c:v>
                </c:pt>
                <c:pt idx="43">
                  <c:v>0.4</c:v>
                </c:pt>
                <c:pt idx="44">
                  <c:v>0.41</c:v>
                </c:pt>
                <c:pt idx="45">
                  <c:v>0.42</c:v>
                </c:pt>
                <c:pt idx="46">
                  <c:v>0.43</c:v>
                </c:pt>
                <c:pt idx="47">
                  <c:v>0.44</c:v>
                </c:pt>
                <c:pt idx="48">
                  <c:v>0.45</c:v>
                </c:pt>
                <c:pt idx="49">
                  <c:v>0.46</c:v>
                </c:pt>
                <c:pt idx="50">
                  <c:v>0.47</c:v>
                </c:pt>
                <c:pt idx="51">
                  <c:v>0.48</c:v>
                </c:pt>
                <c:pt idx="52">
                  <c:v>0.49</c:v>
                </c:pt>
                <c:pt idx="53">
                  <c:v>0.5</c:v>
                </c:pt>
                <c:pt idx="54">
                  <c:v>0.51</c:v>
                </c:pt>
                <c:pt idx="55">
                  <c:v>0.52</c:v>
                </c:pt>
                <c:pt idx="56">
                  <c:v>0.53</c:v>
                </c:pt>
                <c:pt idx="57">
                  <c:v>0.54</c:v>
                </c:pt>
                <c:pt idx="58">
                  <c:v>0.55000000000000004</c:v>
                </c:pt>
                <c:pt idx="59">
                  <c:v>0.56000000000000005</c:v>
                </c:pt>
                <c:pt idx="60">
                  <c:v>0.56999999999999995</c:v>
                </c:pt>
                <c:pt idx="61">
                  <c:v>0.57999999999999996</c:v>
                </c:pt>
                <c:pt idx="62">
                  <c:v>0.59</c:v>
                </c:pt>
                <c:pt idx="63">
                  <c:v>0.6</c:v>
                </c:pt>
                <c:pt idx="64">
                  <c:v>0.61</c:v>
                </c:pt>
                <c:pt idx="65">
                  <c:v>0.62</c:v>
                </c:pt>
                <c:pt idx="66">
                  <c:v>0.63</c:v>
                </c:pt>
                <c:pt idx="67">
                  <c:v>0.64</c:v>
                </c:pt>
                <c:pt idx="68">
                  <c:v>0.65</c:v>
                </c:pt>
                <c:pt idx="69">
                  <c:v>0.66</c:v>
                </c:pt>
                <c:pt idx="70">
                  <c:v>0.67</c:v>
                </c:pt>
                <c:pt idx="71">
                  <c:v>0.68</c:v>
                </c:pt>
                <c:pt idx="72">
                  <c:v>0.69</c:v>
                </c:pt>
                <c:pt idx="73">
                  <c:v>0.7</c:v>
                </c:pt>
                <c:pt idx="74">
                  <c:v>0.71</c:v>
                </c:pt>
                <c:pt idx="75">
                  <c:v>0.72</c:v>
                </c:pt>
                <c:pt idx="76">
                  <c:v>0.73</c:v>
                </c:pt>
                <c:pt idx="77">
                  <c:v>0.74</c:v>
                </c:pt>
                <c:pt idx="78">
                  <c:v>0.75</c:v>
                </c:pt>
                <c:pt idx="79">
                  <c:v>0.76</c:v>
                </c:pt>
                <c:pt idx="80">
                  <c:v>0.77</c:v>
                </c:pt>
                <c:pt idx="81">
                  <c:v>0.78</c:v>
                </c:pt>
                <c:pt idx="82">
                  <c:v>0.79</c:v>
                </c:pt>
                <c:pt idx="83">
                  <c:v>0.8</c:v>
                </c:pt>
                <c:pt idx="84">
                  <c:v>0.81</c:v>
                </c:pt>
                <c:pt idx="85">
                  <c:v>0.82</c:v>
                </c:pt>
                <c:pt idx="86">
                  <c:v>0.83</c:v>
                </c:pt>
                <c:pt idx="87">
                  <c:v>0.84</c:v>
                </c:pt>
                <c:pt idx="88">
                  <c:v>0.85</c:v>
                </c:pt>
                <c:pt idx="89">
                  <c:v>0.86</c:v>
                </c:pt>
                <c:pt idx="90">
                  <c:v>0.87</c:v>
                </c:pt>
                <c:pt idx="91">
                  <c:v>0.88</c:v>
                </c:pt>
                <c:pt idx="92">
                  <c:v>0.89</c:v>
                </c:pt>
                <c:pt idx="93">
                  <c:v>0.9</c:v>
                </c:pt>
                <c:pt idx="94">
                  <c:v>0.91</c:v>
                </c:pt>
                <c:pt idx="95">
                  <c:v>0.92</c:v>
                </c:pt>
                <c:pt idx="96">
                  <c:v>0.93</c:v>
                </c:pt>
                <c:pt idx="97">
                  <c:v>0.94</c:v>
                </c:pt>
                <c:pt idx="98">
                  <c:v>0.95</c:v>
                </c:pt>
                <c:pt idx="99">
                  <c:v>0.96</c:v>
                </c:pt>
                <c:pt idx="100">
                  <c:v>0.97</c:v>
                </c:pt>
                <c:pt idx="101">
                  <c:v>0.98</c:v>
                </c:pt>
                <c:pt idx="102">
                  <c:v>0.99</c:v>
                </c:pt>
                <c:pt idx="103">
                  <c:v>0.99399999999999999</c:v>
                </c:pt>
                <c:pt idx="104">
                  <c:v>0.997</c:v>
                </c:pt>
                <c:pt idx="105">
                  <c:v>0.999</c:v>
                </c:pt>
                <c:pt idx="10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89-4A96-A4F8-E4F4FC9D56C6}"/>
            </c:ext>
          </c:extLst>
        </c:ser>
        <c:ser>
          <c:idx val="1"/>
          <c:order val="1"/>
          <c:tx>
            <c:v>input 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'horizontal one-line layout'!$E$31:$E$35</c:f>
              <c:numCache>
                <c:formatCode>0.0</c:formatCode>
                <c:ptCount val="5"/>
                <c:pt idx="0">
                  <c:v>#N/A</c:v>
                </c:pt>
                <c:pt idx="1">
                  <c:v>20</c:v>
                </c:pt>
                <c:pt idx="2">
                  <c:v>35</c:v>
                </c:pt>
                <c:pt idx="3">
                  <c:v>60</c:v>
                </c:pt>
                <c:pt idx="4">
                  <c:v>#N/A</c:v>
                </c:pt>
              </c:numCache>
            </c:numRef>
          </c:xVal>
          <c:yVal>
            <c:numRef>
              <c:f>'horizontal one-line layout'!$D$31:$D$35</c:f>
              <c:numCache>
                <c:formatCode>0.000</c:formatCode>
                <c:ptCount val="5"/>
                <c:pt idx="0">
                  <c:v>#N/A</c:v>
                </c:pt>
                <c:pt idx="1">
                  <c:v>0.1</c:v>
                </c:pt>
                <c:pt idx="2">
                  <c:v>0.5</c:v>
                </c:pt>
                <c:pt idx="3">
                  <c:v>0.9</c:v>
                </c:pt>
                <c:pt idx="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89-4A96-A4F8-E4F4FC9D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194560"/>
        <c:axId val="704196520"/>
      </c:scatterChart>
      <c:valAx>
        <c:axId val="704194560"/>
        <c:scaling>
          <c:orientation val="minMax"/>
        </c:scaling>
        <c:delete val="0"/>
        <c:axPos val="b"/>
        <c:title>
          <c:tx>
            <c:strRef>
              <c:f>'horizontal one-line layout'!$D$23</c:f>
              <c:strCache>
                <c:ptCount val="1"/>
                <c:pt idx="0">
                  <c:v>1</c:v>
                </c:pt>
              </c:strCache>
            </c:strRef>
          </c:tx>
          <c:layout>
            <c:manualLayout>
              <c:xMode val="edge"/>
              <c:yMode val="edge"/>
              <c:x val="0.48396513389638951"/>
              <c:y val="0.82814050712095544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4196520"/>
        <c:crosses val="autoZero"/>
        <c:crossBetween val="midCat"/>
      </c:valAx>
      <c:valAx>
        <c:axId val="704196520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4194560"/>
        <c:crosses val="autoZero"/>
        <c:crossBetween val="midCat"/>
        <c:majorUnit val="0.2"/>
        <c:minorUnit val="0.1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718456388603597"/>
          <c:y val="0.9212840938742306"/>
          <c:w val="0.62847891001576617"/>
          <c:h val="6.997094508892283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'horizontal one-line layout'!$F$23</c:f>
          <c:strCache>
            <c:ptCount val="1"/>
            <c:pt idx="0">
              <c:v>metalog_1 PDF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99984717749051"/>
          <c:y val="0.14424190126919068"/>
          <c:w val="0.81370813834879163"/>
          <c:h val="0.66145212753693094"/>
        </c:manualLayout>
      </c:layout>
      <c:scatterChart>
        <c:scatterStyle val="smoothMarker"/>
        <c:varyColors val="0"/>
        <c:ser>
          <c:idx val="0"/>
          <c:order val="0"/>
          <c:tx>
            <c:v>metalog</c:v>
          </c:tx>
          <c:spPr>
            <a:ln w="539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'horizontal one-line layout'!$E$37:$E$143</c:f>
              <c:numCache>
                <c:formatCode>0.0</c:formatCode>
                <c:ptCount val="107"/>
                <c:pt idx="0">
                  <c:v>#N/A</c:v>
                </c:pt>
                <c:pt idx="1">
                  <c:v>-8.2610365010519864</c:v>
                </c:pt>
                <c:pt idx="2">
                  <c:v>-1.4332964124621093</c:v>
                </c:pt>
                <c:pt idx="3">
                  <c:v>2.84787365450123</c:v>
                </c:pt>
                <c:pt idx="4">
                  <c:v>5.9828077756563012</c:v>
                </c:pt>
                <c:pt idx="5">
                  <c:v>10.20258751174009</c:v>
                </c:pt>
                <c:pt idx="6">
                  <c:v>12.653675231755811</c:v>
                </c:pt>
                <c:pt idx="7">
                  <c:v>14.388876517410104</c:v>
                </c:pt>
                <c:pt idx="8">
                  <c:v>15.736466011666684</c:v>
                </c:pt>
                <c:pt idx="9">
                  <c:v>16.841973528496915</c:v>
                </c:pt>
                <c:pt idx="10">
                  <c:v>17.782674084550983</c:v>
                </c:pt>
                <c:pt idx="11">
                  <c:v>18.604489434862501</c:v>
                </c:pt>
                <c:pt idx="12">
                  <c:v>19.336913064533029</c:v>
                </c:pt>
                <c:pt idx="13">
                  <c:v>20.000000000000004</c:v>
                </c:pt>
                <c:pt idx="14">
                  <c:v>20.607998646428584</c:v>
                </c:pt>
                <c:pt idx="15">
                  <c:v>21.171390796856084</c:v>
                </c:pt>
                <c:pt idx="16">
                  <c:v>21.698109399096378</c:v>
                </c:pt>
                <c:pt idx="17">
                  <c:v>22.194301951144009</c:v>
                </c:pt>
                <c:pt idx="18">
                  <c:v>22.664828725292452</c:v>
                </c:pt>
                <c:pt idx="19">
                  <c:v>23.113599094104259</c:v>
                </c:pt>
                <c:pt idx="20">
                  <c:v>23.543805184267804</c:v>
                </c:pt>
                <c:pt idx="21">
                  <c:v>23.95808827184036</c:v>
                </c:pt>
                <c:pt idx="22">
                  <c:v>24.358659865173902</c:v>
                </c:pt>
                <c:pt idx="23">
                  <c:v>24.747391504463817</c:v>
                </c:pt>
                <c:pt idx="24">
                  <c:v>25.125882492754148</c:v>
                </c:pt>
                <c:pt idx="25">
                  <c:v>25.495511758163598</c:v>
                </c:pt>
                <c:pt idx="26">
                  <c:v>25.857478108656032</c:v>
                </c:pt>
                <c:pt idx="27">
                  <c:v>26.212831864972564</c:v>
                </c:pt>
                <c:pt idx="28">
                  <c:v>26.5625</c:v>
                </c:pt>
                <c:pt idx="29">
                  <c:v>26.907306325663424</c:v>
                </c:pt>
                <c:pt idx="30">
                  <c:v>27.247987859305795</c:v>
                </c:pt>
                <c:pt idx="31">
                  <c:v>27.585208211963447</c:v>
                </c:pt>
                <c:pt idx="32">
                  <c:v>27.919568633062273</c:v>
                </c:pt>
                <c:pt idx="33">
                  <c:v>28.251617194837557</c:v>
                </c:pt>
                <c:pt idx="34">
                  <c:v>28.581856488437555</c:v>
                </c:pt>
                <c:pt idx="35">
                  <c:v>28.910750120772285</c:v>
                </c:pt>
                <c:pt idx="36">
                  <c:v>29.238728238809827</c:v>
                </c:pt>
                <c:pt idx="37">
                  <c:v>29.566192260665854</c:v>
                </c:pt>
                <c:pt idx="38">
                  <c:v>29.893518956553205</c:v>
                </c:pt>
                <c:pt idx="39">
                  <c:v>30.221063994641806</c:v>
                </c:pt>
                <c:pt idx="40">
                  <c:v>30.549165045084816</c:v>
                </c:pt>
                <c:pt idx="41">
                  <c:v>30.878144518401584</c:v>
                </c:pt>
                <c:pt idx="42">
                  <c:v>31.208312000968295</c:v>
                </c:pt>
                <c:pt idx="43">
                  <c:v>31.539966439732417</c:v>
                </c:pt>
                <c:pt idx="44">
                  <c:v>31.873398119820216</c:v>
                </c:pt>
                <c:pt idx="45">
                  <c:v>32.208890471982215</c:v>
                </c:pt>
                <c:pt idx="46">
                  <c:v>32.546721741465596</c:v>
                </c:pt>
                <c:pt idx="47">
                  <c:v>32.887166545645862</c:v>
                </c:pt>
                <c:pt idx="48">
                  <c:v>33.230497344384908</c:v>
                </c:pt>
                <c:pt idx="49">
                  <c:v>33.576985844452643</c:v>
                </c:pt>
                <c:pt idx="50">
                  <c:v>33.92690435733293</c:v>
                </c:pt>
                <c:pt idx="51">
                  <c:v>34.280527128242461</c:v>
                </c:pt>
                <c:pt idx="52">
                  <c:v>34.638131653155263</c:v>
                </c:pt>
                <c:pt idx="53">
                  <c:v>35</c:v>
                </c:pt>
                <c:pt idx="54">
                  <c:v>35.366420149949697</c:v>
                </c:pt>
                <c:pt idx="55">
                  <c:v>35.737687374840014</c:v>
                </c:pt>
                <c:pt idx="56">
                  <c:v>36.114105667227591</c:v>
                </c:pt>
                <c:pt idx="57">
                  <c:v>36.495989240447223</c:v>
                </c:pt>
                <c:pt idx="58">
                  <c:v>36.883664117267678</c:v>
                </c:pt>
                <c:pt idx="59">
                  <c:v>37.277469827420695</c:v>
                </c:pt>
                <c:pt idx="60">
                  <c:v>37.677761236439508</c:v>
                </c:pt>
                <c:pt idx="61">
                  <c:v>38.084910530967022</c:v>
                </c:pt>
                <c:pt idx="62">
                  <c:v>38.499309389075378</c:v>
                </c:pt>
                <c:pt idx="63">
                  <c:v>38.921371368303262</c:v>
                </c:pt>
                <c:pt idx="64">
                  <c:v>39.351534549224304</c:v>
                </c:pt>
                <c:pt idx="65">
                  <c:v>39.790264478614375</c:v>
                </c:pt>
                <c:pt idx="66">
                  <c:v>40.238057463947804</c:v>
                </c:pt>
                <c:pt idx="67">
                  <c:v>40.695444280358394</c:v>
                </c:pt>
                <c:pt idx="68">
                  <c:v>41.162994362780616</c:v>
                </c:pt>
                <c:pt idx="69">
                  <c:v>41.641320570297296</c:v>
                </c:pt>
                <c:pt idx="70">
                  <c:v>42.131084627487148</c:v>
                </c:pt>
                <c:pt idx="71">
                  <c:v>42.633003369736151</c:v>
                </c:pt>
                <c:pt idx="72">
                  <c:v>43.147855947302673</c:v>
                </c:pt>
                <c:pt idx="73">
                  <c:v>43.676492178065992</c:v>
                </c:pt>
                <c:pt idx="74">
                  <c:v>44.219842283566393</c:v>
                </c:pt>
                <c:pt idx="75">
                  <c:v>44.778928300164154</c:v>
                </c:pt>
                <c:pt idx="76">
                  <c:v>45.354877531000284</c:v>
                </c:pt>
                <c:pt idx="77">
                  <c:v>45.948938500573014</c:v>
                </c:pt>
                <c:pt idx="78">
                  <c:v>46.5625</c:v>
                </c:pt>
                <c:pt idx="79">
                  <c:v>47.197113978470917</c:v>
                </c:pt>
                <c:pt idx="80">
                  <c:v>47.854523260761816</c:v>
                </c:pt>
                <c:pt idx="81">
                  <c:v>48.536695374736695</c:v>
                </c:pt>
                <c:pt idx="82">
                  <c:v>49.245864189843253</c:v>
                </c:pt>
                <c:pt idx="83">
                  <c:v>49.984581647322116</c:v>
                </c:pt>
                <c:pt idx="84">
                  <c:v>50.755782680246398</c:v>
                </c:pt>
                <c:pt idx="85">
                  <c:v>51.562867592239463</c:v>
                </c:pt>
                <c:pt idx="86">
                  <c:v>52.409807869577271</c:v>
                </c:pt>
                <c:pt idx="87">
                  <c:v>53.301283934474398</c:v>
                </c:pt>
                <c:pt idx="88">
                  <c:v>54.242867188543769</c:v>
                </c:pt>
                <c:pt idx="89">
                  <c:v>55.241264657869145</c:v>
                </c:pt>
                <c:pt idx="90">
                  <c:v>56.304654051853767</c:v>
                </c:pt>
                <c:pt idx="91">
                  <c:v>57.443152641167998</c:v>
                </c:pt>
                <c:pt idx="92">
                  <c:v>58.669489829427377</c:v>
                </c:pt>
                <c:pt idx="93">
                  <c:v>60</c:v>
                </c:pt>
                <c:pt idx="94">
                  <c:v>61.456138437217326</c:v>
                </c:pt>
                <c:pt idx="95">
                  <c:v>63.066890967438781</c:v>
                </c:pt>
                <c:pt idx="96">
                  <c:v>64.87279624646284</c:v>
                </c:pt>
                <c:pt idx="97">
                  <c:v>66.933081036091622</c:v>
                </c:pt>
                <c:pt idx="98">
                  <c:v>69.339343196594172</c:v>
                </c:pt>
                <c:pt idx="99">
                  <c:v>72.244661731697533</c:v>
                </c:pt>
                <c:pt idx="100">
                  <c:v>75.93530289404022</c:v>
                </c:pt>
                <c:pt idx="101">
                  <c:v>81.052337478196947</c:v>
                </c:pt>
                <c:pt idx="102">
                  <c:v>89.635974548539039</c:v>
                </c:pt>
                <c:pt idx="103">
                  <c:v>95.873917330447028</c:v>
                </c:pt>
                <c:pt idx="104">
                  <c:v>104.26620360556032</c:v>
                </c:pt>
                <c:pt idx="105">
                  <c:v>117.47494606331345</c:v>
                </c:pt>
                <c:pt idx="106">
                  <c:v>#N/A</c:v>
                </c:pt>
              </c:numCache>
            </c:numRef>
          </c:xVal>
          <c:yVal>
            <c:numRef>
              <c:f>'horizontal one-line layout'!$F$37:$F$143</c:f>
              <c:numCache>
                <c:formatCode>0.000</c:formatCode>
                <c:ptCount val="107"/>
                <c:pt idx="0">
                  <c:v>#N/A</c:v>
                </c:pt>
                <c:pt idx="1">
                  <c:v>1.6049919004539339E-4</c:v>
                </c:pt>
                <c:pt idx="2">
                  <c:v>4.8428105093028433E-4</c:v>
                </c:pt>
                <c:pt idx="3">
                  <c:v>9.7472459927401003E-4</c:v>
                </c:pt>
                <c:pt idx="4">
                  <c:v>1.6347470876534262E-3</c:v>
                </c:pt>
                <c:pt idx="5">
                  <c:v>3.3009303968930879E-3</c:v>
                </c:pt>
                <c:pt idx="6">
                  <c:v>4.9717267327358278E-3</c:v>
                </c:pt>
                <c:pt idx="7">
                  <c:v>6.6307672013204005E-3</c:v>
                </c:pt>
                <c:pt idx="8">
                  <c:v>8.2656467738747852E-3</c:v>
                </c:pt>
                <c:pt idx="9">
                  <c:v>9.8663863465710249E-3</c:v>
                </c:pt>
                <c:pt idx="10">
                  <c:v>1.1424791400623241E-2</c:v>
                </c:pt>
                <c:pt idx="11">
                  <c:v>1.2934111982597222E-2</c:v>
                </c:pt>
                <c:pt idx="12">
                  <c:v>1.4388829654515895E-2</c:v>
                </c:pt>
                <c:pt idx="13">
                  <c:v>1.5784505165885355E-2</c:v>
                </c:pt>
                <c:pt idx="14">
                  <c:v>1.7117657776039557E-2</c:v>
                </c:pt>
                <c:pt idx="15">
                  <c:v>1.8385662368828659E-2</c:v>
                </c:pt>
                <c:pt idx="16">
                  <c:v>1.9586657477901056E-2</c:v>
                </c:pt>
                <c:pt idx="17">
                  <c:v>2.0719460785463224E-2</c:v>
                </c:pt>
                <c:pt idx="18">
                  <c:v>2.178349043125731E-2</c:v>
                </c:pt>
                <c:pt idx="19">
                  <c:v>2.2778691392181312E-2</c:v>
                </c:pt>
                <c:pt idx="20">
                  <c:v>2.370546666137676E-2</c:v>
                </c:pt>
                <c:pt idx="21">
                  <c:v>2.4564613172757033E-2</c:v>
                </c:pt>
                <c:pt idx="22">
                  <c:v>2.5357262494457619E-2</c:v>
                </c:pt>
                <c:pt idx="23">
                  <c:v>2.6084826316305716E-2</c:v>
                </c:pt>
                <c:pt idx="24">
                  <c:v>2.6748946719584832E-2</c:v>
                </c:pt>
                <c:pt idx="25">
                  <c:v>2.7351451164368708E-2</c:v>
                </c:pt>
                <c:pt idx="26">
                  <c:v>2.7894312073629531E-2</c:v>
                </c:pt>
                <c:pt idx="27">
                  <c:v>2.8379610841628339E-2</c:v>
                </c:pt>
                <c:pt idx="28">
                  <c:v>2.8809506050636879E-2</c:v>
                </c:pt>
                <c:pt idx="29">
                  <c:v>2.9186205646427363E-2</c:v>
                </c:pt>
                <c:pt idx="30">
                  <c:v>2.9511942799407442E-2</c:v>
                </c:pt>
                <c:pt idx="31">
                  <c:v>2.9788955164139746E-2</c:v>
                </c:pt>
                <c:pt idx="32">
                  <c:v>3.0019467244179029E-2</c:v>
                </c:pt>
                <c:pt idx="33">
                  <c:v>3.0205675570385251E-2</c:v>
                </c:pt>
                <c:pt idx="34">
                  <c:v>3.0349736407782258E-2</c:v>
                </c:pt>
                <c:pt idx="35">
                  <c:v>3.0453755717340728E-2</c:v>
                </c:pt>
                <c:pt idx="36">
                  <c:v>3.0519781113597991E-2</c:v>
                </c:pt>
                <c:pt idx="37">
                  <c:v>3.0549795575761134E-2</c:v>
                </c:pt>
                <c:pt idx="38">
                  <c:v>3.0545712688005291E-2</c:v>
                </c:pt>
                <c:pt idx="39">
                  <c:v>3.0509373203363999E-2</c:v>
                </c:pt>
                <c:pt idx="40">
                  <c:v>3.0442542744344478E-2</c:v>
                </c:pt>
                <c:pt idx="41">
                  <c:v>3.0346910471749807E-2</c:v>
                </c:pt>
                <c:pt idx="42">
                  <c:v>3.0224088570826011E-2</c:v>
                </c:pt>
                <c:pt idx="43">
                  <c:v>3.0075612420546172E-2</c:v>
                </c:pt>
                <c:pt idx="44">
                  <c:v>2.9902941327443602E-2</c:v>
                </c:pt>
                <c:pt idx="45">
                  <c:v>2.9707459719825205E-2</c:v>
                </c:pt>
                <c:pt idx="46">
                  <c:v>2.9490478711397365E-2</c:v>
                </c:pt>
                <c:pt idx="47">
                  <c:v>2.925323795532107E-2</c:v>
                </c:pt>
                <c:pt idx="48">
                  <c:v>2.8996907720511313E-2</c:v>
                </c:pt>
                <c:pt idx="49">
                  <c:v>2.872259113165888E-2</c:v>
                </c:pt>
                <c:pt idx="50">
                  <c:v>2.8431326523044163E-2</c:v>
                </c:pt>
                <c:pt idx="51">
                  <c:v>2.8124089863807891E-2</c:v>
                </c:pt>
                <c:pt idx="52">
                  <c:v>2.7801797219017543E-2</c:v>
                </c:pt>
                <c:pt idx="53">
                  <c:v>2.7465307216702747E-2</c:v>
                </c:pt>
                <c:pt idx="54">
                  <c:v>2.711542349610328E-2</c:v>
                </c:pt>
                <c:pt idx="55">
                  <c:v>2.6752897116756044E-2</c:v>
                </c:pt>
                <c:pt idx="56">
                  <c:v>2.6378428911813013E-2</c:v>
                </c:pt>
                <c:pt idx="57">
                  <c:v>2.5992671772196625E-2</c:v>
                </c:pt>
                <c:pt idx="58">
                  <c:v>2.5596232850923731E-2</c:v>
                </c:pt>
                <c:pt idx="59">
                  <c:v>2.5189675679219453E-2</c:v>
                </c:pt>
                <c:pt idx="60">
                  <c:v>2.4773522187947289E-2</c:v>
                </c:pt>
                <c:pt idx="61">
                  <c:v>2.4348254629447608E-2</c:v>
                </c:pt>
                <c:pt idx="62">
                  <c:v>2.391431739614101E-2</c:v>
                </c:pt>
                <c:pt idx="63">
                  <c:v>2.3472118733250696E-2</c:v>
                </c:pt>
                <c:pt idx="64">
                  <c:v>2.3022032343758429E-2</c:v>
                </c:pt>
                <c:pt idx="65">
                  <c:v>2.2564398884256043E-2</c:v>
                </c:pt>
                <c:pt idx="66">
                  <c:v>2.2099527350708824E-2</c:v>
                </c:pt>
                <c:pt idx="67">
                  <c:v>2.1627696353324139E-2</c:v>
                </c:pt>
                <c:pt idx="68">
                  <c:v>2.1149155279729551E-2</c:v>
                </c:pt>
                <c:pt idx="69">
                  <c:v>2.0664125345515472E-2</c:v>
                </c:pt>
                <c:pt idx="70">
                  <c:v>2.0172800530890621E-2</c:v>
                </c:pt>
                <c:pt idx="71">
                  <c:v>1.9675348401730269E-2</c:v>
                </c:pt>
                <c:pt idx="72">
                  <c:v>1.9171910812658632E-2</c:v>
                </c:pt>
                <c:pt idx="73">
                  <c:v>1.8662604488981903E-2</c:v>
                </c:pt>
                <c:pt idx="74">
                  <c:v>1.8147521483253586E-2</c:v>
                </c:pt>
                <c:pt idx="75">
                  <c:v>1.7626729500975217E-2</c:v>
                </c:pt>
                <c:pt idx="76">
                  <c:v>1.7100272088367653E-2</c:v>
                </c:pt>
                <c:pt idx="77">
                  <c:v>1.6568168673228644E-2</c:v>
                </c:pt>
                <c:pt idx="78">
                  <c:v>1.6030414447539332E-2</c:v>
                </c:pt>
                <c:pt idx="79">
                  <c:v>1.5486980077585427E-2</c:v>
                </c:pt>
                <c:pt idx="80">
                  <c:v>1.4937811223770626E-2</c:v>
                </c:pt>
                <c:pt idx="81">
                  <c:v>1.4382827847822695E-2</c:v>
                </c:pt>
                <c:pt idx="82">
                  <c:v>1.3821923279457093E-2</c:v>
                </c:pt>
                <c:pt idx="83">
                  <c:v>1.3254963007400842E-2</c:v>
                </c:pt>
                <c:pt idx="84">
                  <c:v>1.2681783150478781E-2</c:v>
                </c:pt>
                <c:pt idx="85">
                  <c:v>1.210218855250726E-2</c:v>
                </c:pt>
                <c:pt idx="86">
                  <c:v>1.151595042900075E-2</c:v>
                </c:pt>
                <c:pt idx="87">
                  <c:v>1.0922803472687969E-2</c:v>
                </c:pt>
                <c:pt idx="88">
                  <c:v>1.0322442296356642E-2</c:v>
                </c:pt>
                <c:pt idx="89">
                  <c:v>9.714517052284849E-3</c:v>
                </c:pt>
                <c:pt idx="90">
                  <c:v>9.0986280123499692E-3</c:v>
                </c:pt>
                <c:pt idx="91">
                  <c:v>8.4743188137195238E-3</c:v>
                </c:pt>
                <c:pt idx="92">
                  <c:v>7.8410679585753911E-3</c:v>
                </c:pt>
                <c:pt idx="93">
                  <c:v>7.1982779802397499E-3</c:v>
                </c:pt>
                <c:pt idx="94">
                  <c:v>6.545261413095119E-3</c:v>
                </c:pt>
                <c:pt idx="95">
                  <c:v>5.8812222576714521E-3</c:v>
                </c:pt>
                <c:pt idx="96">
                  <c:v>5.2052308752400141E-3</c:v>
                </c:pt>
                <c:pt idx="97">
                  <c:v>4.5161888882822411E-3</c:v>
                </c:pt>
                <c:pt idx="98">
                  <c:v>3.8127780530524576E-3</c:v>
                </c:pt>
                <c:pt idx="99">
                  <c:v>3.0933815858209253E-3</c:v>
                </c:pt>
                <c:pt idx="100">
                  <c:v>2.3559534258394705E-3</c:v>
                </c:pt>
                <c:pt idx="101">
                  <c:v>1.5977742463860927E-3</c:v>
                </c:pt>
                <c:pt idx="102">
                  <c:v>8.1489517202902877E-4</c:v>
                </c:pt>
                <c:pt idx="103">
                  <c:v>4.9345807442339931E-4</c:v>
                </c:pt>
                <c:pt idx="104">
                  <c:v>2.4865697662125331E-4</c:v>
                </c:pt>
                <c:pt idx="105">
                  <c:v>8.3385821213431433E-5</c:v>
                </c:pt>
                <c:pt idx="10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05-4187-BAB6-0B6F362C044C}"/>
            </c:ext>
          </c:extLst>
        </c:ser>
        <c:ser>
          <c:idx val="1"/>
          <c:order val="1"/>
          <c:tx>
            <c:v>input 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'horizontal one-line layout'!$E$31:$E$35</c:f>
              <c:numCache>
                <c:formatCode>0.0</c:formatCode>
                <c:ptCount val="5"/>
                <c:pt idx="0">
                  <c:v>#N/A</c:v>
                </c:pt>
                <c:pt idx="1">
                  <c:v>20</c:v>
                </c:pt>
                <c:pt idx="2">
                  <c:v>35</c:v>
                </c:pt>
                <c:pt idx="3">
                  <c:v>60</c:v>
                </c:pt>
                <c:pt idx="4">
                  <c:v>#N/A</c:v>
                </c:pt>
              </c:numCache>
            </c:numRef>
          </c:xVal>
          <c:yVal>
            <c:numRef>
              <c:f>'horizontal one-line layout'!$F$31:$F$35</c:f>
              <c:numCache>
                <c:formatCode>0.000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05-4187-BAB6-0B6F362C0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591840"/>
        <c:axId val="712596936"/>
      </c:scatterChart>
      <c:valAx>
        <c:axId val="712591840"/>
        <c:scaling>
          <c:orientation val="minMax"/>
        </c:scaling>
        <c:delete val="0"/>
        <c:axPos val="b"/>
        <c:title>
          <c:tx>
            <c:strRef>
              <c:f>'horizontal one-line layout'!$D$23</c:f>
              <c:strCache>
                <c:ptCount val="1"/>
                <c:pt idx="0">
                  <c:v>1</c:v>
                </c:pt>
              </c:strCache>
            </c:strRef>
          </c:tx>
          <c:layout>
            <c:manualLayout>
              <c:xMode val="edge"/>
              <c:yMode val="edge"/>
              <c:x val="0.48826574803149597"/>
              <c:y val="0.8846830977860537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12596936"/>
        <c:crosses val="autoZero"/>
        <c:crossBetween val="midCat"/>
      </c:valAx>
      <c:valAx>
        <c:axId val="712596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1259184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13926</xdr:colOff>
      <xdr:row>8</xdr:row>
      <xdr:rowOff>118337</xdr:rowOff>
    </xdr:from>
    <xdr:to>
      <xdr:col>6</xdr:col>
      <xdr:colOff>603477</xdr:colOff>
      <xdr:row>19</xdr:row>
      <xdr:rowOff>54258</xdr:rowOff>
    </xdr:to>
    <xdr:graphicFrame macro="">
      <xdr:nvGraphicFramePr>
        <xdr:cNvPr id="2" name="Metalog Cumulative Chart">
          <a:extLst>
            <a:ext uri="{FF2B5EF4-FFF2-40B4-BE49-F238E27FC236}">
              <a16:creationId xmlns:a16="http://schemas.microsoft.com/office/drawing/2014/main" id="{0930C41F-DC36-4213-AE9A-E11CF1C6F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674922</xdr:colOff>
      <xdr:row>8</xdr:row>
      <xdr:rowOff>134834</xdr:rowOff>
    </xdr:from>
    <xdr:to>
      <xdr:col>10</xdr:col>
      <xdr:colOff>421820</xdr:colOff>
      <xdr:row>19</xdr:row>
      <xdr:rowOff>70757</xdr:rowOff>
    </xdr:to>
    <xdr:graphicFrame macro="">
      <xdr:nvGraphicFramePr>
        <xdr:cNvPr id="3" name="Metalog Density Chart">
          <a:extLst>
            <a:ext uri="{FF2B5EF4-FFF2-40B4-BE49-F238E27FC236}">
              <a16:creationId xmlns:a16="http://schemas.microsoft.com/office/drawing/2014/main" id="{4C1DFC46-8B7A-44C4-9B45-4F4BFE8F8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alogdistributions.com/downloads/sipmath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1032"/>
  <sheetViews>
    <sheetView tabSelected="1" zoomScaleNormal="100" workbookViewId="0"/>
  </sheetViews>
  <sheetFormatPr defaultRowHeight="14.5" x14ac:dyDescent="0.35"/>
  <cols>
    <col min="1" max="1" width="3.1796875" customWidth="1"/>
    <col min="2" max="2" width="2.54296875" customWidth="1"/>
    <col min="3" max="3" width="4.54296875" customWidth="1"/>
    <col min="4" max="4" width="11.1796875" customWidth="1"/>
    <col min="5" max="5" width="9.1796875" customWidth="1"/>
    <col min="6" max="8" width="11.1796875" customWidth="1"/>
    <col min="9" max="9" width="11.26953125" customWidth="1"/>
    <col min="11" max="11" width="11.1796875" customWidth="1"/>
    <col min="12" max="12" width="46.26953125" style="21" customWidth="1"/>
    <col min="13" max="13" width="7.453125" style="21" bestFit="1" customWidth="1"/>
    <col min="14" max="14" width="7.7265625" bestFit="1" customWidth="1"/>
  </cols>
  <sheetData>
    <row r="1" spans="1:23" x14ac:dyDescent="0.35">
      <c r="A1" t="s">
        <v>48</v>
      </c>
    </row>
    <row r="2" spans="1:23" x14ac:dyDescent="0.35">
      <c r="C2" s="1"/>
      <c r="D2" s="2" t="s">
        <v>0</v>
      </c>
      <c r="E2" s="3"/>
      <c r="F2" s="79"/>
      <c r="G2" s="4" t="s">
        <v>47</v>
      </c>
      <c r="H2" s="3"/>
      <c r="I2" s="5" t="s">
        <v>2</v>
      </c>
      <c r="J2" s="5"/>
      <c r="K2" s="5"/>
      <c r="L2" s="5"/>
      <c r="M2" s="5"/>
      <c r="N2" s="6" t="s">
        <v>3</v>
      </c>
      <c r="O2" s="7" t="s">
        <v>4</v>
      </c>
      <c r="P2" s="7"/>
      <c r="Q2" s="7"/>
      <c r="R2" s="7"/>
      <c r="S2" s="7"/>
      <c r="T2" s="7"/>
      <c r="U2" s="7" t="s">
        <v>5</v>
      </c>
      <c r="V2" s="7"/>
      <c r="W2" s="8"/>
    </row>
    <row r="3" spans="1:23" ht="17" x14ac:dyDescent="0.45">
      <c r="C3" s="1"/>
      <c r="D3" s="9" t="s">
        <v>6</v>
      </c>
      <c r="E3" s="11" t="s">
        <v>9</v>
      </c>
      <c r="F3" s="9" t="s">
        <v>10</v>
      </c>
      <c r="G3" s="12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8" t="s">
        <v>16</v>
      </c>
      <c r="M3" s="10" t="s">
        <v>7</v>
      </c>
      <c r="N3" s="10" t="s">
        <v>8</v>
      </c>
      <c r="O3" s="12" t="s">
        <v>17</v>
      </c>
      <c r="P3" s="10" t="s">
        <v>18</v>
      </c>
      <c r="Q3" s="10" t="s">
        <v>19</v>
      </c>
      <c r="R3" s="13" t="s">
        <v>20</v>
      </c>
      <c r="S3" s="10" t="s">
        <v>21</v>
      </c>
      <c r="T3" s="11" t="s">
        <v>22</v>
      </c>
      <c r="U3" s="12" t="s">
        <v>23</v>
      </c>
      <c r="V3" s="10" t="s">
        <v>24</v>
      </c>
      <c r="W3" s="11" t="s">
        <v>25</v>
      </c>
    </row>
    <row r="4" spans="1:23" x14ac:dyDescent="0.35">
      <c r="C4" s="1"/>
      <c r="D4" s="14" t="s">
        <v>26</v>
      </c>
      <c r="E4" s="16">
        <v>0.1</v>
      </c>
      <c r="F4" s="17" t="s">
        <v>27</v>
      </c>
      <c r="G4" s="81">
        <v>10</v>
      </c>
      <c r="H4" s="80">
        <v>20</v>
      </c>
      <c r="I4" s="80">
        <v>35</v>
      </c>
      <c r="J4" s="80">
        <v>60</v>
      </c>
      <c r="K4" s="82">
        <v>100</v>
      </c>
      <c r="L4" s="18" t="str">
        <f>IF(AND(F4&lt;&gt;"u",F4&lt;&gt;"sl",F4&lt;&gt;"su",F4&lt;&gt;"b"),"You must enter u, sl, su, or b for metalog bounds.",IF(OR(E4="",E4&lt;=0,E4&gt;=0.5),"Low probability must be greater than 0 and less than 0.5.",IF(OR(NOT(ISNUMBER(H4)),NOT(ISNUMBER(I4)),NOT(ISNUMBER(J4))),"Input quantiles must be numeric.",IF(AND(OR(F4="sl",F4="b"),NOT(ISNUMBER(G4))),"You must enter a numeric lower bound.",IF(AND(OR(F4="sl",F4="b"),G4&gt;=MIN(H4,I4,J4)),"Lower bound must be strictly less than all input quantiles.",IF(AND(OR(F4="su",F4="b"),NOT(ISNUMBER(K4))),"You must enter a numeric upper bound.",IF(AND(OR(F4="su",F4="b"),K4&lt;=MAX(H4,I4,J4)),"Upper bound must be strictly greater than all input quantiles.",IF(OR(H4&gt;=MIN(I4,J4),I4&gt;=J4),"Input quantiles must be strictly increasing.",IF(AND(I4&gt;IF(F4="u",H4+(J4-H4)*(1/2)*(1-1.66711*(1/2-E4)),IF(F4="sl",G4+(H4-G4)^(1-(1/2)*(1-1.66711*(1/2-E4)))*(J4-G4)^((1/2)*(1-1.66711*(1/2-E4))),IF(F4="su",K4-(K4-H4)^(1-(1/2)*(1-1.66711*(1/2-E4)))*(K4-J4)^((1/2)*(1-1.66711*(1/2-E4))),IF(F4="b",(G4+K4*((H4-G4)/(K4-H4))^(1-(1/2)*(1-1.66711*(1/2-E4)))*((J4-G4)/(K4-J4))^((1/2)*(1-1.66711*(1/2-E4))))*(1+((H4-G4)/(K4-H4))^(1-(1/2)*(1-1.66711*(1/2-E4)))*((J4-G4)/(K4-J4))^((1/2)*(1-1.66711*(1/2-E4))))^-1,NA())))),I4&lt;IF(F4="u",H4+(J4-H4)*(1-(1/2)*(1-1.66711*(1/2-E4))),IF(F4="sl",G4+(H4-G4)^((1/2)*(1-1.66711*(1/2-E4)))*(J4-G4)^(1-(1/2)*(1-1.66711*(1/2-E4))),IF(F4="su",K4-(K4-H4)^((1/2)*(1-1.66711*(1/2-E4)))*(K4-J4)^(1-(1/2)*(1-1.66711*(1/2-E4))),IF(F4="b",(G4+K4*((H4-G4)/(K4-H4))^((1/2)*(1-1.66711*(1/2-E4)))*((J4-G4)/(K4-J4))^(1-(1/2)*(1-1.66711*(1/2-E4))))*(1+((H4-G4)/(K4-H4))^((1/2)*(1-1.66711*(1/2-E4)))*((J4-G4)/(K4-J4))^(1-(1/2)*(1-1.66711*(1/2-E4))))^-1,NA()))))),"","Enter a feasible median between " &amp; TEXT(IF(F4="u",H4+(J4-H4)*(1/2)*(1-1.66711*(1/2-E4)),IF(F4="sl",G4+(H4-G4)^(1-(1/2)*(1-1.66711*(1/2-E4)))*(J4-G4)^((1/2)*(1-1.66711*(1/2-E4))),IF(F4="su",K4-(K4-H4)^(1-(1/2)*(1-1.66711*(1/2-E4)))*(K4-J4)^((1/2)*(1-1.66711*(1/2-E4))),IF(F4="b",(G4+K4*((H4-G4)/(K4-H4))^(1-(1/2)*(1-1.66711*(1/2-E4)))*((J4-G4)/(K4-J4))^((1/2)*(1-1.66711*(1/2-E4))))*(1+((H4-G4)/(K4-H4))^(1-(1/2)*(1-1.66711*(1/2-E4)))*((J4-G4)/(K4-J4))^((1/2)*(1-1.66711*(1/2-E4))))^-1,NA())))),"0.00") &amp; " and " &amp; TEXT(IF(F4="u",H4+(J4-H4)*(1-(1/2)*(1-1.66711*(1/2-E4))),IF(F4="sl",G4+(H4-G4)^((1/2)*(1-1.66711*(1/2-E4)))*(J4-G4)^(1-(1/2)*(1-1.66711*(1/2-E4))),IF(F4="su",K4-(K4-H4)^((1/2)*(1-1.66711*(1/2-E4)))*(K4-J4)^(1-(1/2)*(1-1.66711*(1/2-E4))),IF(F4="b",(G4+K4*((H4-G4)/(K4-H4))^((1/2)*(1-1.66711*(1/2-E4)))*((J4-G4)/(K4-J4))^(1-(1/2)*(1-1.66711*(1/2-E4))))*(1+((H4-G4)/(K4-H4))^((1/2)*(1-1.66711*(1/2-E4)))*((J4-G4)/(K4-J4))^(1-(1/2)*(1-1.66711*(1/2-E4))))^-1,NA())))),"0.00") &amp; ".")))))))))</f>
        <v/>
      </c>
      <c r="M4" s="83">
        <f>IF(L4&lt;&gt;"","",IF(F4="u",I4+(1/2)*(LN((1-E4)/E4))^-1*(J4-H4)*LN(N4/(1-N4))+((1-2*E4)*(LN((1-E4)/E4)))^-1*(1-2*(I4-H4)/(J4-H4))*(J4-H4)*(N4-0.5)*LN(N4/(1-N4)),IF(F4="sl",G4+EXP(LN(I4-G4)+(1/2)*(LN((1-E4)/E4))^-1*LN((J4-G4)/(H4-G4))*LN(N4/(1-N4))+((1-2*E4)*(LN((1-E4)/E4)))^-1*LN(((J4-G4)*(H4-G4))/(I4-G4)^2)*(N4-0.5)*LN(N4/(1-N4))),IF(F4="su",K4-EXP(-(-LN(K4-I4)-(1/2)*(LN((1-E4)/E4))^-1*LN((K4-J4)/(K4-H4))*LN(N4/(1-N4))-((1-2*E4)*(LN((1-E4)/E4)))^-1*LN(((K4-J4)*(K4-H4))/(K4-I4)^2)*(N4-0.5)*LN(N4/(1-N4)))),IF(F4="b",(G4+K4*EXP(LN((I4-G4)/(K4-I4))+(1/2)*(LN((1-E4)/E4))^-1*LN(((J4-G4)/(K4-J4))/((H4-G4)/(K4-H4)))*LN(N4/(1-N4))+((1-2*E4)*(LN((1-E4)/E4)))^-1*LN((((J4-G4)/(K4-J4))*((H4-G4)/(K4-H4)))/((I4-G4)/(K4-I4))^2)*(N4-0.5)*LN(N4/(1-N4))))/(1+EXP(LN((I4-G4)/(K4-I4))+(1/2)*(LN((1-E4)/E4))^-1*LN(((J4-G4)/(K4-J4))/((H4-G4)/(K4-H4)))*LN(N4/(1-N4))+((1-2*E4)*(LN((1-E4)/E4)))^-1*LN((((J4-G4)/(K4-J4))*((H4-G4)/(K4-H4)))/((I4-G4)/(K4-I4))^2)*(N4-0.5)*LN(N4/(1-N4)))),"")))))</f>
        <v>20.000000000000004</v>
      </c>
      <c r="N4" s="15">
        <v>0.1</v>
      </c>
      <c r="O4" s="15">
        <f>IF(F4="u",I4,IF(OR(F4="s",F4="b"),NA(),""))</f>
        <v>35</v>
      </c>
      <c r="P4" s="15">
        <f>IF(F4="u",(1/2)*(LN((1-R4)/R4))^-1*(J4-H4),IF(OR(F4="s",F4="b"),NA(),""))</f>
        <v>9.1023922662683727</v>
      </c>
      <c r="Q4" s="15">
        <f>IF(F4="u",((1-2*R4)*(LN((1-R4)/R4)))^-1*(1-2*T4)*(J4-H4),IF(OR(F4="s",F4="b"),NA(),""))</f>
        <v>5.6889951664177332</v>
      </c>
      <c r="R4" s="15">
        <f>E4</f>
        <v>0.1</v>
      </c>
      <c r="S4" s="15">
        <f>(1/2)*(1-1.66711*(1/2-R4))</f>
        <v>0.16657799999999995</v>
      </c>
      <c r="T4" s="19">
        <f>IF(F4="u",(I4-H4)/(J4-H4),"")</f>
        <v>0.375</v>
      </c>
      <c r="U4" s="15">
        <f>IF(F4&lt;&gt;"u","",O4 + Q4/2)</f>
        <v>37.844497583208863</v>
      </c>
      <c r="V4" s="15">
        <f>IF(F4&lt;&gt;"u","",(PI()^2*P4^2)/3 + Q4^2/12 + (PI()^2*Q4^2)/36)</f>
        <v>284.1472498028931</v>
      </c>
      <c r="W4" s="20">
        <f>IF(F4&lt;&gt;"u","",PI()^2*P4^2*Q4 + (PI()^2*Q4^3)/24)</f>
        <v>4727.789071164616</v>
      </c>
    </row>
    <row r="5" spans="1:23" x14ac:dyDescent="0.35">
      <c r="C5" s="1"/>
      <c r="D5" s="14" t="s">
        <v>28</v>
      </c>
      <c r="E5" s="16">
        <v>0.1</v>
      </c>
      <c r="F5" s="17" t="s">
        <v>29</v>
      </c>
      <c r="G5" s="81">
        <v>10</v>
      </c>
      <c r="H5" s="80">
        <v>20</v>
      </c>
      <c r="I5" s="80">
        <v>40</v>
      </c>
      <c r="J5" s="80">
        <v>60</v>
      </c>
      <c r="K5" s="82">
        <v>100</v>
      </c>
      <c r="L5" s="18" t="str">
        <f>IF(AND(F5&lt;&gt;"u",F5&lt;&gt;"sl",F5&lt;&gt;"su",F5&lt;&gt;"b"),"You must enter u, sl, su, or b for metalog bounds.",IF(OR(E5="",E5&lt;=0,E5&gt;=0.5),"Low probability must be greater than 0 and less than 0.5.",IF(OR(NOT(ISNUMBER(H5)),NOT(ISNUMBER(I5)),NOT(ISNUMBER(J5))),"Input quantiles must be numeric.",IF(AND(OR(F5="sl",F5="b"),NOT(ISNUMBER(G5))),"You must enter a numeric lower bound.",IF(AND(OR(F5="sl",F5="b"),G5&gt;=MIN(H5,I5,J5)),"Lower bound must be strictly less than all input quantiles.",IF(AND(OR(F5="su",F5="b"),NOT(ISNUMBER(K5))),"You must enter a numeric upper bound.",IF(AND(OR(F5="su",F5="b"),K5&lt;=MAX(H5,I5,J5)),"Upper bound must be strictly greater than all input quantiles.",IF(OR(H5&gt;=MIN(I5,J5),I5&gt;=J5),"Input quantiles must be strictly increasing.",IF(AND(I5&gt;IF(F5="u",H5+(J5-H5)*(1/2)*(1-1.66711*(1/2-E5)),IF(F5="sl",G5+(H5-G5)^(1-(1/2)*(1-1.66711*(1/2-E5)))*(J5-G5)^((1/2)*(1-1.66711*(1/2-E5))),IF(F5="su",K5-(K5-H5)^(1-(1/2)*(1-1.66711*(1/2-E5)))*(K5-J5)^((1/2)*(1-1.66711*(1/2-E5))),IF(F5="b",(G5+K5*((H5-G5)/(K5-H5))^(1-(1/2)*(1-1.66711*(1/2-E5)))*((J5-G5)/(K5-J5))^((1/2)*(1-1.66711*(1/2-E5))))*(1+((H5-G5)/(K5-H5))^(1-(1/2)*(1-1.66711*(1/2-E5)))*((J5-G5)/(K5-J5))^((1/2)*(1-1.66711*(1/2-E5))))^-1,NA())))),I5&lt;IF(F5="u",H5+(J5-H5)*(1-(1/2)*(1-1.66711*(1/2-E5))),IF(F5="sl",G5+(H5-G5)^((1/2)*(1-1.66711*(1/2-E5)))*(J5-G5)^(1-(1/2)*(1-1.66711*(1/2-E5))),IF(F5="su",K5-(K5-H5)^((1/2)*(1-1.66711*(1/2-E5)))*(K5-J5)^(1-(1/2)*(1-1.66711*(1/2-E5))),IF(F5="b",(G5+K5*((H5-G5)/(K5-H5))^((1/2)*(1-1.66711*(1/2-E5)))*((J5-G5)/(K5-J5))^(1-(1/2)*(1-1.66711*(1/2-E5))))*(1+((H5-G5)/(K5-H5))^((1/2)*(1-1.66711*(1/2-E5)))*((J5-G5)/(K5-J5))^(1-(1/2)*(1-1.66711*(1/2-E5))))^-1,NA()))))),"","Enter a feasible median between " &amp; TEXT(IF(F5="u",H5+(J5-H5)*(1/2)*(1-1.66711*(1/2-E5)),IF(F5="sl",G5+(H5-G5)^(1-(1/2)*(1-1.66711*(1/2-E5)))*(J5-G5)^((1/2)*(1-1.66711*(1/2-E5))),IF(F5="su",K5-(K5-H5)^(1-(1/2)*(1-1.66711*(1/2-E5)))*(K5-J5)^((1/2)*(1-1.66711*(1/2-E5))),IF(F5="b",(G5+K5*((H5-G5)/(K5-H5))^(1-(1/2)*(1-1.66711*(1/2-E5)))*((J5-G5)/(K5-J5))^((1/2)*(1-1.66711*(1/2-E5))))*(1+((H5-G5)/(K5-H5))^(1-(1/2)*(1-1.66711*(1/2-E5)))*((J5-G5)/(K5-J5))^((1/2)*(1-1.66711*(1/2-E5))))^-1,NA())))),"0.00") &amp; " and " &amp; TEXT(IF(F5="u",H5+(J5-H5)*(1-(1/2)*(1-1.66711*(1/2-E5))),IF(F5="sl",G5+(H5-G5)^((1/2)*(1-1.66711*(1/2-E5)))*(J5-G5)^(1-(1/2)*(1-1.66711*(1/2-E5))),IF(F5="su",K5-(K5-H5)^((1/2)*(1-1.66711*(1/2-E5)))*(K5-J5)^(1-(1/2)*(1-1.66711*(1/2-E5))),IF(F5="b",(G5+K5*((H5-G5)/(K5-H5))^((1/2)*(1-1.66711*(1/2-E5)))*((J5-G5)/(K5-J5))^(1-(1/2)*(1-1.66711*(1/2-E5))))*(1+((H5-G5)/(K5-H5))^((1/2)*(1-1.66711*(1/2-E5)))*((J5-G5)/(K5-J5))^(1-(1/2)*(1-1.66711*(1/2-E5))))^-1,NA())))),"0.00") &amp; ".")))))))))</f>
        <v/>
      </c>
      <c r="M5" s="83">
        <f>IF(L5&lt;&gt;"","",IF(F5="u",I5+(1/2)*(LN((1-E5)/E5))^-1*(J5-H5)*LN(N5/(1-N5))+((1-2*E5)*(LN((1-E5)/E5)))^-1*(1-2*(I5-H5)/(J5-H5))*(J5-H5)*(N5-0.5)*LN(N5/(1-N5)),IF(F5="sl",G5+EXP(LN(I5-G5)+(1/2)*(LN((1-E5)/E5))^-1*LN((J5-G5)/(H5-G5))*LN(N5/(1-N5))+((1-2*E5)*(LN((1-E5)/E5)))^-1*LN(((J5-G5)*(H5-G5))/(I5-G5)^2)*(N5-0.5)*LN(N5/(1-N5))),IF(F5="su",K5-EXP(-(-LN(K5-I5)-(1/2)*(LN((1-E5)/E5))^-1*LN((K5-J5)/(K5-H5))*LN(N5/(1-N5))-((1-2*E5)*(LN((1-E5)/E5)))^-1*LN(((K5-J5)*(K5-H5))/(K5-I5)^2)*(N5-0.5)*LN(N5/(1-N5)))),IF(F5="b",(G5+K5*EXP(LN((I5-G5)/(K5-I5))+(1/2)*(LN((1-E5)/E5))^-1*LN(((J5-G5)/(K5-J5))/((H5-G5)/(K5-H5)))*LN(N5/(1-N5))+((1-2*E5)*(LN((1-E5)/E5)))^-1*LN((((J5-G5)/(K5-J5))*((H5-G5)/(K5-H5)))/((I5-G5)/(K5-I5))^2)*(N5-0.5)*LN(N5/(1-N5))))/(1+EXP(LN((I5-G5)/(K5-I5))+(1/2)*(LN((1-E5)/E5))^-1*LN(((J5-G5)/(K5-J5))/((H5-G5)/(K5-H5)))*LN(N5/(1-N5))+((1-2*E5)*(LN((1-E5)/E5)))^-1*LN((((J5-G5)/(K5-J5))*((H5-G5)/(K5-H5)))/((I5-G5)/(K5-I5))^2)*(N5-0.5)*LN(N5/(1-N5)))),"")))))</f>
        <v>25.711716580780255</v>
      </c>
      <c r="N5" s="15">
        <f>N4+0.1</f>
        <v>0.2</v>
      </c>
      <c r="O5" s="15" t="str">
        <f>IF(F5="u",I5,IF(OR(F5="s",F5="b"),NA(),""))</f>
        <v/>
      </c>
      <c r="P5" s="15" t="str">
        <f>IF(F5="u",(1/2)*(LN((1-R5)/R5))^-1*(J5-H5),IF(OR(F5="s",F5="b"),NA(),""))</f>
        <v/>
      </c>
      <c r="Q5" s="15" t="str">
        <f>IF(F5="u",((1-2*R5)*(LN((1-R5)/R5)))^-1*(1-2*T5)*(J5-H5),IF(OR(F5="s",F5="b"),NA(),""))</f>
        <v/>
      </c>
      <c r="R5" s="15">
        <f>E5</f>
        <v>0.1</v>
      </c>
      <c r="S5" s="15">
        <f t="shared" ref="S5:S6" si="0">(1/2)*(1-1.66711*(1/2-R5))</f>
        <v>0.16657799999999995</v>
      </c>
      <c r="T5" s="19" t="str">
        <f>IF(F5="u",(I5-H5)/(J5-H5),"")</f>
        <v/>
      </c>
      <c r="U5" s="15" t="str">
        <f>IF(F5&lt;&gt;"u","",O5 + Q5/2)</f>
        <v/>
      </c>
      <c r="V5" s="15" t="str">
        <f>IF(F5&lt;&gt;"u","",(PI()^2*P5^2)/3 + Q5^2/12 + (PI()^2*Q5^2)/36)</f>
        <v/>
      </c>
      <c r="W5" s="19" t="str">
        <f>IF(F5&lt;&gt;"u","",PI()^2*P5^2*Q5 + (PI()^2*Q5^3)/24)</f>
        <v/>
      </c>
    </row>
    <row r="6" spans="1:23" x14ac:dyDescent="0.35">
      <c r="C6" s="1"/>
      <c r="D6" s="14" t="s">
        <v>30</v>
      </c>
      <c r="E6" s="16">
        <v>0.1</v>
      </c>
      <c r="F6" s="17" t="s">
        <v>31</v>
      </c>
      <c r="G6" s="81">
        <v>10</v>
      </c>
      <c r="H6" s="80">
        <v>20</v>
      </c>
      <c r="I6" s="80">
        <v>35</v>
      </c>
      <c r="J6" s="80">
        <v>60</v>
      </c>
      <c r="K6" s="82">
        <v>100</v>
      </c>
      <c r="L6" s="18" t="str">
        <f>IF(AND(F6&lt;&gt;"u",F6&lt;&gt;"sl",F6&lt;&gt;"su",F6&lt;&gt;"b"),"You must enter u, sl, su, or b for metalog bounds.",IF(OR(E6="",E6&lt;=0,E6&gt;=0.5),"Low probability must be greater than 0 and less than 0.5.",IF(OR(NOT(ISNUMBER(H6)),NOT(ISNUMBER(I6)),NOT(ISNUMBER(J6))),"Input quantiles must be numeric.",IF(AND(OR(F6="sl",F6="b"),NOT(ISNUMBER(G6))),"You must enter a numeric lower bound.",IF(AND(OR(F6="sl",F6="b"),G6&gt;=MIN(H6,I6,J6)),"Lower bound must be strictly less than all input quantiles.",IF(AND(OR(F6="su",F6="b"),NOT(ISNUMBER(K6))),"You must enter a numeric upper bound.",IF(AND(OR(F6="su",F6="b"),K6&lt;=MAX(H6,I6,J6)),"Upper bound must be strictly greater than all input quantiles.",IF(OR(H6&gt;=MIN(I6,J6),I6&gt;=J6),"Input quantiles must be strictly increasing.",IF(AND(I6&gt;IF(F6="u",H6+(J6-H6)*(1/2)*(1-1.66711*(1/2-E6)),IF(F6="sl",G6+(H6-G6)^(1-(1/2)*(1-1.66711*(1/2-E6)))*(J6-G6)^((1/2)*(1-1.66711*(1/2-E6))),IF(F6="su",K6-(K6-H6)^(1-(1/2)*(1-1.66711*(1/2-E6)))*(K6-J6)^((1/2)*(1-1.66711*(1/2-E6))),IF(F6="b",(G6+K6*((H6-G6)/(K6-H6))^(1-(1/2)*(1-1.66711*(1/2-E6)))*((J6-G6)/(K6-J6))^((1/2)*(1-1.66711*(1/2-E6))))*(1+((H6-G6)/(K6-H6))^(1-(1/2)*(1-1.66711*(1/2-E6)))*((J6-G6)/(K6-J6))^((1/2)*(1-1.66711*(1/2-E6))))^-1,NA())))),I6&lt;IF(F6="u",H6+(J6-H6)*(1-(1/2)*(1-1.66711*(1/2-E6))),IF(F6="sl",G6+(H6-G6)^((1/2)*(1-1.66711*(1/2-E6)))*(J6-G6)^(1-(1/2)*(1-1.66711*(1/2-E6))),IF(F6="su",K6-(K6-H6)^((1/2)*(1-1.66711*(1/2-E6)))*(K6-J6)^(1-(1/2)*(1-1.66711*(1/2-E6))),IF(F6="b",(G6+K6*((H6-G6)/(K6-H6))^((1/2)*(1-1.66711*(1/2-E6)))*((J6-G6)/(K6-J6))^(1-(1/2)*(1-1.66711*(1/2-E6))))*(1+((H6-G6)/(K6-H6))^((1/2)*(1-1.66711*(1/2-E6)))*((J6-G6)/(K6-J6))^(1-(1/2)*(1-1.66711*(1/2-E6))))^-1,NA()))))),"","Enter a feasible median between " &amp; TEXT(IF(F6="u",H6+(J6-H6)*(1/2)*(1-1.66711*(1/2-E6)),IF(F6="sl",G6+(H6-G6)^(1-(1/2)*(1-1.66711*(1/2-E6)))*(J6-G6)^((1/2)*(1-1.66711*(1/2-E6))),IF(F6="su",K6-(K6-H6)^(1-(1/2)*(1-1.66711*(1/2-E6)))*(K6-J6)^((1/2)*(1-1.66711*(1/2-E6))),IF(F6="b",(G6+K6*((H6-G6)/(K6-H6))^(1-(1/2)*(1-1.66711*(1/2-E6)))*((J6-G6)/(K6-J6))^((1/2)*(1-1.66711*(1/2-E6))))*(1+((H6-G6)/(K6-H6))^(1-(1/2)*(1-1.66711*(1/2-E6)))*((J6-G6)/(K6-J6))^((1/2)*(1-1.66711*(1/2-E6))))^-1,NA())))),"0.00") &amp; " and " &amp; TEXT(IF(F6="u",H6+(J6-H6)*(1-(1/2)*(1-1.66711*(1/2-E6))),IF(F6="sl",G6+(H6-G6)^((1/2)*(1-1.66711*(1/2-E6)))*(J6-G6)^(1-(1/2)*(1-1.66711*(1/2-E6))),IF(F6="su",K6-(K6-H6)^((1/2)*(1-1.66711*(1/2-E6)))*(K6-J6)^(1-(1/2)*(1-1.66711*(1/2-E6))),IF(F6="b",(G6+K6*((H6-G6)/(K6-H6))^((1/2)*(1-1.66711*(1/2-E6)))*((J6-G6)/(K6-J6))^(1-(1/2)*(1-1.66711*(1/2-E6))))*(1+((H6-G6)/(K6-H6))^((1/2)*(1-1.66711*(1/2-E6)))*((J6-G6)/(K6-J6))^(1-(1/2)*(1-1.66711*(1/2-E6))))^-1,NA())))),"0.00") &amp; ".")))))))))</f>
        <v/>
      </c>
      <c r="M6" s="83">
        <f>IF(L6&lt;&gt;"","",IF(F6="u",I6+(1/2)*(LN((1-E6)/E6))^-1*(J6-H6)*LN(N6/(1-N6))+((1-2*E6)*(LN((1-E6)/E6)))^-1*(1-2*(I6-H6)/(J6-H6))*(J6-H6)*(N6-0.5)*LN(N6/(1-N6)),IF(F6="sl",G6+EXP(LN(I6-G6)+(1/2)*(LN((1-E6)/E6))^-1*LN((J6-G6)/(H6-G6))*LN(N6/(1-N6))+((1-2*E6)*(LN((1-E6)/E6)))^-1*LN(((J6-G6)*(H6-G6))/(I6-G6)^2)*(N6-0.5)*LN(N6/(1-N6))),IF(F6="su",K6-EXP(-(-LN(K6-I6)-(1/2)*(LN((1-E6)/E6))^-1*LN((K6-J6)/(K6-H6))*LN(N6/(1-N6))-((1-2*E6)*(LN((1-E6)/E6)))^-1*LN(((K6-J6)*(K6-H6))/(K6-I6)^2)*(N6-0.5)*LN(N6/(1-N6)))),IF(F6="b",(G6+K6*EXP(LN((I6-G6)/(K6-I6))+(1/2)*(LN((1-E6)/E6))^-1*LN(((J6-G6)/(K6-J6))/((H6-G6)/(K6-H6)))*LN(N6/(1-N6))+((1-2*E6)*(LN((1-E6)/E6)))^-1*LN((((J6-G6)/(K6-J6))*((H6-G6)/(K6-H6)))/((I6-G6)/(K6-I6))^2)*(N6-0.5)*LN(N6/(1-N6))))/(1+EXP(LN((I6-G6)/(K6-I6))+(1/2)*(LN((1-E6)/E6))^-1*LN(((J6-G6)/(K6-J6))/((H6-G6)/(K6-H6)))*LN(N6/(1-N6))+((1-2*E6)*(LN((1-E6)/E6)))^-1*LN((((J6-G6)/(K6-J6))*((H6-G6)/(K6-H6)))/((I6-G6)/(K6-I6))^2)*(N6-0.5)*LN(N6/(1-N6)))),"")))))</f>
        <v>27.669522015909664</v>
      </c>
      <c r="N6" s="15">
        <f>N5+0.1</f>
        <v>0.30000000000000004</v>
      </c>
      <c r="O6" s="15" t="str">
        <f>IF(F6="u",I6,IF(OR(F6="s",F6="b"),NA(),""))</f>
        <v/>
      </c>
      <c r="P6" s="15" t="str">
        <f>IF(F6="u",(1/2)*(LN((1-R6)/R6))^-1*(J6-H6),IF(OR(F6="s",F6="b"),NA(),""))</f>
        <v/>
      </c>
      <c r="Q6" s="15" t="str">
        <f>IF(F6="u",((1-2*R6)*(LN((1-R6)/R6)))^-1*(1-2*T6)*(J6-H6),IF(OR(F6="s",F6="b"),NA(),""))</f>
        <v/>
      </c>
      <c r="R6" s="15">
        <f>E6</f>
        <v>0.1</v>
      </c>
      <c r="S6" s="15">
        <f t="shared" si="0"/>
        <v>0.16657799999999995</v>
      </c>
      <c r="T6" s="19" t="str">
        <f>IF(F6="u",(I6-H6)/(J6-H6),"")</f>
        <v/>
      </c>
      <c r="U6" s="15" t="str">
        <f>IF(F6&lt;&gt;"u","",O6 + Q6/2)</f>
        <v/>
      </c>
      <c r="V6" s="15" t="str">
        <f>IF(F6&lt;&gt;"u","",(PI()^2*P6^2)/3 + Q6^2/12 + (PI()^2*Q6^2)/36)</f>
        <v/>
      </c>
      <c r="W6" s="19" t="str">
        <f>IF(F6&lt;&gt;"u","",PI()^2*P6^2*Q6 + (PI()^2*Q6^3)/24)</f>
        <v/>
      </c>
    </row>
    <row r="7" spans="1:23" x14ac:dyDescent="0.35">
      <c r="D7" s="14" t="s">
        <v>32</v>
      </c>
      <c r="E7" s="16">
        <v>0.1</v>
      </c>
      <c r="F7" s="17" t="s">
        <v>27</v>
      </c>
      <c r="G7" s="81">
        <v>10</v>
      </c>
      <c r="H7" s="80">
        <f>IF(F7="u",O7+P7*LN(E7/(1-E7))+Q7*(E7-0.5)*LN(E7/(1-E7)),NA())</f>
        <v>19.999999999999993</v>
      </c>
      <c r="I7" s="80">
        <f>IF(F7="u",O7, NA())</f>
        <v>35</v>
      </c>
      <c r="J7" s="80">
        <f>IF(F7="u",O7+P7*LN((1-E7)/(E7))+Q7*(0.5-E7)*LN((1-E7)/E7))</f>
        <v>60</v>
      </c>
      <c r="K7" s="82">
        <v>100</v>
      </c>
      <c r="L7" s="18" t="str">
        <f>IF(AND(F7&lt;&gt;"u",F7&lt;&gt;"sl",F7&lt;&gt;"su",F7&lt;&gt;"b"),"You must enter u, sl, su, or b for metalog bounds.",IF(OR(E7="",E7&lt;=0,E7&gt;=0.5),"Low probability must be greater than 0 and less than 0.5.",IF(OR(NOT(ISNUMBER(H7)),NOT(ISNUMBER(I7)),NOT(ISNUMBER(J7))),"Input quantiles must be numeric.",IF(AND(OR(F7="sl",F7="b"),NOT(ISNUMBER(G7))),"You must enter a numeric lower bound.",IF(AND(OR(F7="sl",F7="b"),G7&gt;=MIN(H7,I7,J7)),"Lower bound must be strictly less than all input quantiles.",IF(AND(OR(F7="su",F7="b"),NOT(ISNUMBER(K7))),"You must enter a numeric upper bound.",IF(AND(OR(F7="su",F7="b"),K7&lt;=MAX(H7,I7,J7)),"Upper bound must be strictly greater than all input quantiles.",IF(OR(H7&gt;=MIN(I7,J7),I7&gt;=J7),"Input quantiles must be strictly increasing.",IF(AND(I7&gt;IF(F7="u",H7+(J7-H7)*(1/2)*(1-1.66711*(1/2-E7)),IF(F7="sl",G7+(H7-G7)^(1-(1/2)*(1-1.66711*(1/2-E7)))*(J7-G7)^((1/2)*(1-1.66711*(1/2-E7))),IF(F7="su",K7-(K7-H7)^(1-(1/2)*(1-1.66711*(1/2-E7)))*(K7-J7)^((1/2)*(1-1.66711*(1/2-E7))),IF(F7="b",(G7+K7*((H7-G7)/(K7-H7))^(1-(1/2)*(1-1.66711*(1/2-E7)))*((J7-G7)/(K7-J7))^((1/2)*(1-1.66711*(1/2-E7))))*(1+((H7-G7)/(K7-H7))^(1-(1/2)*(1-1.66711*(1/2-E7)))*((J7-G7)/(K7-J7))^((1/2)*(1-1.66711*(1/2-E7))))^-1,NA())))),I7&lt;IF(F7="u",H7+(J7-H7)*(1-(1/2)*(1-1.66711*(1/2-E7))),IF(F7="sl",G7+(H7-G7)^((1/2)*(1-1.66711*(1/2-E7)))*(J7-G7)^(1-(1/2)*(1-1.66711*(1/2-E7))),IF(F7="su",K7-(K7-H7)^((1/2)*(1-1.66711*(1/2-E7)))*(K7-J7)^(1-(1/2)*(1-1.66711*(1/2-E7))),IF(F7="b",(G7+K7*((H7-G7)/(K7-H7))^((1/2)*(1-1.66711*(1/2-E7)))*((J7-G7)/(K7-J7))^(1-(1/2)*(1-1.66711*(1/2-E7))))*(1+((H7-G7)/(K7-H7))^((1/2)*(1-1.66711*(1/2-E7)))*((J7-G7)/(K7-J7))^(1-(1/2)*(1-1.66711*(1/2-E7))))^-1,NA()))))),"","Enter a feasible median between " &amp; TEXT(IF(F7="u",H7+(J7-H7)*(1/2)*(1-1.66711*(1/2-E7)),IF(F7="sl",G7+(H7-G7)^(1-(1/2)*(1-1.66711*(1/2-E7)))*(J7-G7)^((1/2)*(1-1.66711*(1/2-E7))),IF(F7="su",K7-(K7-H7)^(1-(1/2)*(1-1.66711*(1/2-E7)))*(K7-J7)^((1/2)*(1-1.66711*(1/2-E7))),IF(F7="b",(G7+K7*((H7-G7)/(K7-H7))^(1-(1/2)*(1-1.66711*(1/2-E7)))*((J7-G7)/(K7-J7))^((1/2)*(1-1.66711*(1/2-E7))))*(1+((H7-G7)/(K7-H7))^(1-(1/2)*(1-1.66711*(1/2-E7)))*((J7-G7)/(K7-J7))^((1/2)*(1-1.66711*(1/2-E7))))^-1,NA())))),"0.00") &amp; " and " &amp; TEXT(IF(F7="u",H7+(J7-H7)*(1-(1/2)*(1-1.66711*(1/2-E7))),IF(F7="sl",G7+(H7-G7)^((1/2)*(1-1.66711*(1/2-E7)))*(J7-G7)^(1-(1/2)*(1-1.66711*(1/2-E7))),IF(F7="su",K7-(K7-H7)^((1/2)*(1-1.66711*(1/2-E7)))*(K7-J7)^(1-(1/2)*(1-1.66711*(1/2-E7))),IF(F7="b",(G7+K7*((H7-G7)/(K7-H7))^((1/2)*(1-1.66711*(1/2-E7)))*((J7-G7)/(K7-J7))^(1-(1/2)*(1-1.66711*(1/2-E7))))*(1+((H7-G7)/(K7-H7))^((1/2)*(1-1.66711*(1/2-E7)))*((J7-G7)/(K7-J7))^(1-(1/2)*(1-1.66711*(1/2-E7))))^-1,NA())))),"0.00") &amp; ".")))))))))</f>
        <v/>
      </c>
      <c r="M7" s="83">
        <f>IF(L7&lt;&gt;"","",IF(F7="u",I7+(1/2)*(LN((1-E7)/E7))^-1*(J7-H7)*LN(N7/(1-N7))+((1-2*E7)*(LN((1-E7)/E7)))^-1*(1-2*(I7-H7)/(J7-H7))*(J7-H7)*(N7-0.5)*LN(N7/(1-N7)),IF(F7="sl",G7+EXP(LN(I7-G7)+(1/2)*(LN((1-E7)/E7))^-1*LN((J7-G7)/(H7-G7))*LN(N7/(1-N7))+((1-2*E7)*(LN((1-E7)/E7)))^-1*LN(((J7-G7)*(H7-G7))/(I7-G7)^2)*(N7-0.5)*LN(N7/(1-N7))),IF(F7="su",K7-EXP(-(-LN(K7-I7)-(1/2)*(LN((1-E7)/E7))^-1*LN((K7-J7)/(K7-H7))*LN(N7/(1-N7))-((1-2*E7)*(LN((1-E7)/E7)))^-1*LN(((K7-J7)*(K7-H7))/(K7-I7)^2)*(N7-0.5)*LN(N7/(1-N7)))),IF(F7="b",(G7+K7*EXP(LN((I7-G7)/(K7-I7))+(1/2)*(LN((1-E7)/E7))^-1*LN(((J7-G7)/(K7-J7))/((H7-G7)/(K7-H7)))*LN(N7/(1-N7))+((1-2*E7)*(LN((1-E7)/E7)))^-1*LN((((J7-G7)/(K7-J7))*((H7-G7)/(K7-H7)))/((I7-G7)/(K7-I7))^2)*(N7-0.5)*LN(N7/(1-N7))))/(1+EXP(LN((I7-G7)/(K7-I7))+(1/2)*(LN((1-E7)/E7))^-1*LN(((J7-G7)/(K7-J7))/((H7-G7)/(K7-H7)))*LN(N7/(1-N7))+((1-2*E7)*(LN((1-E7)/E7)))^-1*LN((((J7-G7)/(K7-J7))*((H7-G7)/(K7-H7)))/((I7-G7)/(K7-I7))^2)*(N7-0.5)*LN(N7/(1-N7)))),"")))))</f>
        <v>31.539966439732414</v>
      </c>
      <c r="N7" s="15">
        <v>0.4</v>
      </c>
      <c r="O7" s="15">
        <f>U7-Q7/2</f>
        <v>35</v>
      </c>
      <c r="P7" s="15">
        <f>IF(W7=0,SQRT(3*V7)/PI(),SQRT(W7/(PI()^2*Q7)-Q7^2/24))</f>
        <v>9.1023922662683763</v>
      </c>
      <c r="Q7" s="15">
        <f>IF(W7=0,0,2*SQRT(V7/(3*(1/12+PI()^2/72)))*COS((ACOS(-W7/(6*(1/12+PI()^2/72))/(V7/(3*(1/12+PI()^2/72)))^(3/2))+4*PI())/3))</f>
        <v>5.6889951664177287</v>
      </c>
      <c r="R7" s="15"/>
      <c r="S7" s="15">
        <f>(1/2)*(1-1.66711*(1/2-E7))</f>
        <v>0.16657799999999995</v>
      </c>
      <c r="T7" s="19"/>
      <c r="U7" s="15">
        <f>SUM( U4:U6 )</f>
        <v>37.844497583208863</v>
      </c>
      <c r="V7" s="15">
        <f>SUM( V4:V6 )</f>
        <v>284.1472498028931</v>
      </c>
      <c r="W7" s="19">
        <f>SUM( W4:W6 )</f>
        <v>4727.789071164616</v>
      </c>
    </row>
    <row r="8" spans="1:23" x14ac:dyDescent="0.35">
      <c r="L8"/>
      <c r="M8"/>
    </row>
    <row r="9" spans="1:23" ht="15" customHeight="1" x14ac:dyDescent="0.35">
      <c r="J9" s="21"/>
      <c r="K9" s="21"/>
      <c r="L9"/>
      <c r="M9"/>
    </row>
    <row r="10" spans="1:23" x14ac:dyDescent="0.35">
      <c r="J10" s="21"/>
      <c r="K10" s="21"/>
      <c r="L10"/>
      <c r="M10"/>
    </row>
    <row r="11" spans="1:23" x14ac:dyDescent="0.35">
      <c r="J11" s="21"/>
      <c r="K11" s="21"/>
      <c r="L11"/>
      <c r="M11"/>
    </row>
    <row r="12" spans="1:23" x14ac:dyDescent="0.35">
      <c r="J12" s="21"/>
      <c r="K12" s="22"/>
      <c r="L12"/>
      <c r="M12"/>
    </row>
    <row r="13" spans="1:23" x14ac:dyDescent="0.35">
      <c r="J13" s="21"/>
      <c r="K13" s="21"/>
      <c r="L13"/>
      <c r="M13"/>
    </row>
    <row r="14" spans="1:23" ht="15" customHeight="1" x14ac:dyDescent="0.35">
      <c r="J14" s="21"/>
      <c r="K14" s="21"/>
      <c r="L14"/>
      <c r="M14"/>
    </row>
    <row r="15" spans="1:23" x14ac:dyDescent="0.35">
      <c r="J15" s="21"/>
      <c r="K15" s="21"/>
      <c r="L15"/>
      <c r="M15"/>
    </row>
    <row r="16" spans="1:23" x14ac:dyDescent="0.35">
      <c r="J16" s="21"/>
      <c r="K16" s="21"/>
      <c r="L16"/>
      <c r="M16"/>
    </row>
    <row r="17" spans="4:13" x14ac:dyDescent="0.35">
      <c r="J17" s="21"/>
      <c r="K17" s="21"/>
      <c r="L17"/>
      <c r="M17"/>
    </row>
    <row r="18" spans="4:13" x14ac:dyDescent="0.35">
      <c r="J18" s="21"/>
      <c r="K18" s="21"/>
      <c r="L18"/>
      <c r="M18"/>
    </row>
    <row r="19" spans="4:13" x14ac:dyDescent="0.35">
      <c r="J19" s="21"/>
      <c r="K19" s="21"/>
      <c r="L19"/>
      <c r="M19"/>
    </row>
    <row r="20" spans="4:13" x14ac:dyDescent="0.35">
      <c r="L20"/>
      <c r="M20"/>
    </row>
    <row r="21" spans="4:13" x14ac:dyDescent="0.35">
      <c r="D21" s="23" t="s">
        <v>33</v>
      </c>
      <c r="E21" s="24"/>
      <c r="F21" s="25"/>
      <c r="M21"/>
    </row>
    <row r="22" spans="4:13" x14ac:dyDescent="0.35">
      <c r="D22" s="26" t="s">
        <v>34</v>
      </c>
      <c r="E22" s="27" t="s">
        <v>35</v>
      </c>
      <c r="F22" s="28"/>
      <c r="M22"/>
    </row>
    <row r="23" spans="4:13" x14ac:dyDescent="0.35">
      <c r="D23" s="29">
        <v>1</v>
      </c>
      <c r="E23" s="30" t="str">
        <f>D24 &amp; " CDF"</f>
        <v>metalog_1 CDF</v>
      </c>
      <c r="F23" s="31" t="str">
        <f>D24 &amp; " PDF"</f>
        <v>metalog_1 PDF</v>
      </c>
      <c r="M23"/>
    </row>
    <row r="24" spans="4:13" x14ac:dyDescent="0.35">
      <c r="D24" s="32" t="str">
        <f>INDEX( D4:D1004, $D23, 1 )</f>
        <v>metalog_1</v>
      </c>
      <c r="E24" s="33">
        <f>INDEX( M4:M1004, $D23, 1 )</f>
        <v>20.000000000000004</v>
      </c>
      <c r="F24" s="34">
        <f>INDEX( N4:N1004, $D23, 1 )</f>
        <v>0.1</v>
      </c>
      <c r="M24"/>
    </row>
    <row r="25" spans="4:13" x14ac:dyDescent="0.35">
      <c r="D25" s="32"/>
      <c r="E25" s="35">
        <f>INDEX( E4:E1004, $D23, 1 )</f>
        <v>0.1</v>
      </c>
      <c r="F25" s="36" t="str">
        <f>INDEX( F4:F1004, $D23, 1 )</f>
        <v>u</v>
      </c>
      <c r="M25"/>
    </row>
    <row r="26" spans="4:13" x14ac:dyDescent="0.35">
      <c r="D26" s="37">
        <f>INDEX( G4:G1004, $D23, 1 )</f>
        <v>10</v>
      </c>
      <c r="E26" s="38">
        <f>INDEX( H4:H1004, $D23, 1 )</f>
        <v>20</v>
      </c>
      <c r="F26" s="39">
        <f>INDEX( I4:I1004, $D23, 1 )</f>
        <v>35</v>
      </c>
      <c r="M26"/>
    </row>
    <row r="27" spans="4:13" x14ac:dyDescent="0.35">
      <c r="D27" s="40">
        <f>INDEX( J4:J1004, $D23, 1 )</f>
        <v>60</v>
      </c>
      <c r="E27" s="41">
        <f>INDEX( K4:K1004, $D23, 1 )</f>
        <v>100</v>
      </c>
      <c r="F27" s="42" t="str">
        <f>INDEX( L4:L1004, $D23, 1 )</f>
        <v/>
      </c>
      <c r="M27"/>
    </row>
    <row r="28" spans="4:13" x14ac:dyDescent="0.35">
      <c r="D28" s="43" t="s">
        <v>36</v>
      </c>
      <c r="E28" s="44" t="s">
        <v>37</v>
      </c>
      <c r="F28" s="45" t="s">
        <v>38</v>
      </c>
      <c r="M28"/>
    </row>
    <row r="29" spans="4:13" x14ac:dyDescent="0.35">
      <c r="D29" s="23" t="s">
        <v>39</v>
      </c>
      <c r="E29" s="24"/>
      <c r="F29" s="25"/>
      <c r="M29"/>
    </row>
    <row r="30" spans="4:13" x14ac:dyDescent="0.35">
      <c r="D30" s="46" t="s">
        <v>1</v>
      </c>
      <c r="E30" s="47">
        <v>1</v>
      </c>
      <c r="F30" s="48">
        <v>0</v>
      </c>
      <c r="M30"/>
    </row>
    <row r="31" spans="4:13" x14ac:dyDescent="0.35">
      <c r="D31" s="49" t="e">
        <f>IF(AND(OR(F25="sl",F25="b"),ISNUMBER(D26)),0,NA())</f>
        <v>#N/A</v>
      </c>
      <c r="E31" s="50" t="e">
        <f>IF(E30&lt;&gt;1,NA(),IF(AND(OR(F25="sl",F25="b"),ISNUMBER(D26)),D26,NA()))</f>
        <v>#N/A</v>
      </c>
      <c r="F31" s="51" t="e">
        <f>IF(F30&lt;&gt;1,NA(),IF(OR(F25="sl",F25="b"),0,NA()))</f>
        <v>#N/A</v>
      </c>
      <c r="M31"/>
    </row>
    <row r="32" spans="4:13" x14ac:dyDescent="0.35">
      <c r="D32" s="49">
        <f>E25</f>
        <v>0.1</v>
      </c>
      <c r="E32" s="50">
        <f>IF(E30&lt;&gt;1,NA(),E26)</f>
        <v>20</v>
      </c>
      <c r="F32" s="51" t="e">
        <f>IF(F30&lt;&gt;1,NA(),IF(F27&lt;&gt;"",NA(),IF(F25="u",((1/2)*(LN((1-E25)/E25))^-1*(D27-E26)/(D32*(1-D32))+((1-2*E25)*(LN((1-E25)/E25)))^-1*(1-2*(F26-E26)/(D27-E26))*(D27-E26)*((D32-0.5)/(D32*(1-D32))+LN(D32/(1-D32))))^(-1),IF(F25="sl",((1/2)*(LN((1-E25)/E25))^-1*LN((D27-D26)/(E26-D26))/(D32*(1-D32))+((1-2*E25)*(LN((1-E25)/E25)))^-1*LN(((D27-D26)*(E26-D26))/(F26-D26)^2)*((D32-0.5)/(D32*(1-D32))+LN(D32/(1-D32))))^(-1)*EXP(-(LN(F26-D26)+(1/2)*(LN((1-E25)/E25))^-1*LN((D27-D26)/(E26-D26))*LN(D32/(1-D32))+((1-2*E25)*(LN((1-E25)/E25)))^-1*LN(((D27-D26)*(E26-D26))/(F26-D26)^2)*(D32-0.5)*LN(D32/(1-D32)))),IF(F25="su",(-(1/2)*(LN((1-E25)/E25))^-1*LN((E27-D27)/(E27-E26))/(D32*(1-D32))-((1-2*E25)*(LN((1-E25)/E25)))^-1*LN(((E27-D27)*(E27-E26))/(E27-F26)^2)*((D32-0.5)/(D32*(1-D32))+LN(D32/(1-D32))))^(-1)*EXP((-LN(E27-F26)-(1/2)*(LN((1-E25)/E25))^-1*LN((E27-D27)/(E27-E26))*LN(D32/(1-D32))-((1-2*E25)*(LN((1-E25)/E25)))^-1*LN(((E27-D27)*(E27-E26))/(E27-F26)^2)*(D32-0.5)*LN(D32/(1-D32)))),IF(F25="b",((1/2)*(LN((1-E25)/E25))^-1*LN(((D27-D26)/(E27-D27))/((E26-D26)/(E27-E26)))/(D32*(1-D32))+((1-2*E25)*(LN((1-E25)/E25)))^-1*LN((((D27-D26)/(E27-D27))*((E26-D26)/(E27-E26)))/((F26-D26)/(E27-F26))^2)*((D32-0.5)/(D32*(1-D32))+LN(D32/(1-D32))))^(-1)*(1+EXP(LN((F26-D26)/(E27-F26))+(1/2)*(LN((1-E25)/E25))^-1*LN(((D27-D26)/(E27-D27))/((E26-D26)/(E27-E26)))*LN(D32/(1-D32))+((1-2*E25)*(LN((1-E25)/E25)))^-1*LN((((D27-D26)/(E27-D27))*((E26-D26)/(E27-E26)))/((F26-D26)/(E27-F26))^2)*(D32-0.5)*LN(D32/(1-D32))))^2/((E27-D26)*EXP(LN((F26-D26)/(E27-F26))+(1/2)*(LN((1-E25)/E25))^-1*LN(((D27-D26)/(E27-D27))/((E26-D26)/(E27-E26)))*LN(D32/(1-D32))+((1-2*E25)*(LN((1-E25)/E25)))^-1*LN((((D27-D26)/(E27-D27))*((E26-D26)/(E27-E26)))/((F26-D26)/(E27-F26))^2)*(D32-0.5)*LN(D32/(1-D32)))),NA()))))))</f>
        <v>#N/A</v>
      </c>
      <c r="M32"/>
    </row>
    <row r="33" spans="4:13" x14ac:dyDescent="0.35">
      <c r="D33" s="49">
        <v>0.5</v>
      </c>
      <c r="E33" s="50">
        <f>IF(E30&lt;&gt;1,NA(),F26)</f>
        <v>35</v>
      </c>
      <c r="F33" s="51" t="e">
        <f>IF(F30&lt;&gt;1,NA(),IF(F27&lt;&gt;"",NA(),IF(F25="u",((1/2)*(LN((1-E25)/E25))^-1*(D27-E26)/(D33*(1-D33))+((1-2*E25)*(LN((1-E25)/E25)))^-1*(1-2*(F26-E26)/(D27-E26))*(D27-E26)*((D33-0.5)/(D33*(1-D33))+LN(D33/(1-D33))))^(-1),IF(F25="sl",((1/2)*(LN((1-E25)/E25))^-1*LN((D27-D26)/(E26-D26))/(D33*(1-D33))+((1-2*E25)*(LN((1-E25)/E25)))^-1*LN(((D27-D26)*(E26-D26))/(F26-D26)^2)*((D33-0.5)/(D33*(1-D33))+LN(D33/(1-D33))))^(-1)*EXP(-(LN(F26-D26)+(1/2)*(LN((1-E25)/E25))^-1*LN((D27-D26)/(E26-D26))*LN(D33/(1-D33))+((1-2*E25)*(LN((1-E25)/E25)))^-1*LN(((D27-D26)*(E26-D26))/(F26-D26)^2)*(D33-0.5)*LN(D33/(1-D33)))),IF(F25="su",(-(1/2)*(LN((1-E25)/E25))^-1*LN((E27-D27)/(E27-E26))/(D33*(1-D33))-((1-2*E25)*(LN((1-E25)/E25)))^-1*LN(((E27-D27)*(E27-E26))/(E27-F26)^2)*((D33-0.5)/(D33*(1-D33))+LN(D33/(1-D33))))^(-1)*EXP((-LN(E27-F26)-(1/2)*(LN((1-E25)/E25))^-1*LN((E27-D27)/(E27-E26))*LN(D33/(1-D33))-((1-2*E25)*(LN((1-E25)/E25)))^-1*LN(((E27-D27)*(E27-E26))/(E27-F26)^2)*(D33-0.5)*LN(D33/(1-D33)))),IF(F25="b",((1/2)*(LN((1-E25)/E25))^-1*LN(((D27-D26)/(E27-D27))/((E26-D26)/(E27-E26)))/(D33*(1-D33))+((1-2*E25)*(LN((1-E25)/E25)))^-1*LN((((D27-D26)/(E27-D27))*((E26-D26)/(E27-E26)))/((F26-D26)/(E27-F26))^2)*((D33-0.5)/(D33*(1-D33))+LN(D33/(1-D33))))^(-1)*(1+EXP(LN((F26-D26)/(E27-F26))+(1/2)*(LN((1-E25)/E25))^-1*LN(((D27-D26)/(E27-D27))/((E26-D26)/(E27-E26)))*LN(D33/(1-D33))+((1-2*E25)*(LN((1-E25)/E25)))^-1*LN((((D27-D26)/(E27-D27))*((E26-D26)/(E27-E26)))/((F26-D26)/(E27-F26))^2)*(D33-0.5)*LN(D33/(1-D33))))^2/((E27-D26)*EXP(LN((F26-D26)/(E27-F26))+(1/2)*(LN((1-E25)/E25))^-1*LN(((D27-D26)/(E27-D27))/((E26-D26)/(E27-E26)))*LN(D33/(1-D33))+((1-2*E25)*(LN((1-E25)/E25)))^-1*LN((((D27-D26)/(E27-D27))*((E26-D26)/(E27-E26)))/((F26-D26)/(E27-F26))^2)*(D33-0.5)*LN(D33/(1-D33)))),NA()))))))</f>
        <v>#N/A</v>
      </c>
      <c r="M33"/>
    </row>
    <row r="34" spans="4:13" x14ac:dyDescent="0.35">
      <c r="D34" s="49">
        <f>1-E25</f>
        <v>0.9</v>
      </c>
      <c r="E34" s="50">
        <f>IF(E30&lt;&gt;1,NA(),D27)</f>
        <v>60</v>
      </c>
      <c r="F34" s="51" t="e">
        <f>IF(F30&lt;&gt;1,NA(),IF(F27&lt;&gt;"",NA(),IF(F25="u",((1/2)*(LN((1-E25)/E25))^-1*(D27-E26)/(D34*(1-D34))+((1-2*E25)*(LN((1-E25)/E25)))^-1*(1-2*(F26-E26)/(D27-E26))*(D27-E26)*((D34-0.5)/(D34*(1-D34))+LN(D34/(1-D34))))^(-1),IF(F25="sl",((1/2)*(LN((1-E25)/E25))^-1*LN((D27-D26)/(E26-D26))/(D34*(1-D34))+((1-2*E25)*(LN((1-E25)/E25)))^-1*LN(((D27-D26)*(E26-D26))/(F26-D26)^2)*((D34-0.5)/(D34*(1-D34))+LN(D34/(1-D34))))^(-1)*EXP(-(LN(F26-D26)+(1/2)*(LN((1-E25)/E25))^-1*LN((D27-D26)/(E26-D26))*LN(D34/(1-D34))+((1-2*E25)*(LN((1-E25)/E25)))^-1*LN(((D27-D26)*(E26-D26))/(F26-D26)^2)*(D34-0.5)*LN(D34/(1-D34)))),IF(F25="su",(-(1/2)*(LN((1-E25)/E25))^-1*LN((E27-D27)/(E27-E26))/(D34*(1-D34))-((1-2*E25)*(LN((1-E25)/E25)))^-1*LN(((E27-D27)*(E27-E26))/(E27-F26)^2)*((D34-0.5)/(D34*(1-D34))+LN(D34/(1-D34))))^(-1)*EXP((-LN(E27-F26)-(1/2)*(LN((1-E25)/E25))^-1*LN((E27-D27)/(E27-E26))*LN(D34/(1-D34))-((1-2*E25)*(LN((1-E25)/E25)))^-1*LN(((E27-D27)*(E27-E26))/(E27-F26)^2)*(D34-0.5)*LN(D34/(1-D34)))),IF(F25="b",((1/2)*(LN((1-E25)/E25))^-1*LN(((D27-D26)/(E27-D27))/((E26-D26)/(E27-E26)))/(D34*(1-D34))+((1-2*E25)*(LN((1-E25)/E25)))^-1*LN((((D27-D26)/(E27-D27))*((E26-D26)/(E27-E26)))/((F26-D26)/(E27-F26))^2)*((D34-0.5)/(D34*(1-D34))+LN(D34/(1-D34))))^(-1)*(1+EXP(LN((F26-D26)/(E27-F26))+(1/2)*(LN((1-E25)/E25))^-1*LN(((D27-D26)/(E27-D27))/((E26-D26)/(E27-E26)))*LN(D34/(1-D34))+((1-2*E25)*(LN((1-E25)/E25)))^-1*LN((((D27-D26)/(E27-D27))*((E26-D26)/(E27-E26)))/((F26-D26)/(E27-F26))^2)*(D34-0.5)*LN(D34/(1-D34))))^2/((E27-D26)*EXP(LN((F26-D26)/(E27-F26))+(1/2)*(LN((1-E25)/E25))^-1*LN(((D27-D26)/(E27-D27))/((E26-D26)/(E27-E26)))*LN(D34/(1-D34))+((1-2*E25)*(LN((1-E25)/E25)))^-1*LN((((D27-D26)/(E27-D27))*((E26-D26)/(E27-E26)))/((F26-D26)/(E27-F26))^2)*(D34-0.5)*LN(D34/(1-D34)))),NA()))))))</f>
        <v>#N/A</v>
      </c>
      <c r="H34" s="7" t="s">
        <v>40</v>
      </c>
      <c r="I34" s="52"/>
      <c r="J34" s="52"/>
      <c r="K34" s="53"/>
      <c r="M34"/>
    </row>
    <row r="35" spans="4:13" x14ac:dyDescent="0.35">
      <c r="D35" s="54" t="e">
        <f>IF(AND(OR(F25="su",F25="b"),ISNUMBER(E27)),1,NA())</f>
        <v>#N/A</v>
      </c>
      <c r="E35" s="55" t="e">
        <f>IF(E30&lt;&gt;1,NA(),IF(AND(OR(F25="su",F25="b"),ISNUMBER(E27)),E27,NA()))</f>
        <v>#N/A</v>
      </c>
      <c r="F35" s="56" t="e">
        <f>IF(F30&lt;&gt;1,NA(),IF(OR(F25="su",F25="b"),0,NA()))</f>
        <v>#N/A</v>
      </c>
      <c r="H35" s="57"/>
      <c r="I35" s="58">
        <f>( IF( ISNUMBER( E143 ), E143, E142 ) - IF( ISNUMBER( E37 ), E37, E38 )) / 99</f>
        <v>1.2700604299430853</v>
      </c>
      <c r="J35" s="59" t="s">
        <v>41</v>
      </c>
      <c r="K35" s="60"/>
      <c r="M35"/>
    </row>
    <row r="36" spans="4:13" x14ac:dyDescent="0.35">
      <c r="D36" s="23" t="s">
        <v>42</v>
      </c>
      <c r="E36" s="24"/>
      <c r="F36" s="25"/>
      <c r="H36" s="61" t="s">
        <v>43</v>
      </c>
      <c r="I36" s="62" t="s">
        <v>44</v>
      </c>
      <c r="J36" s="62" t="s">
        <v>45</v>
      </c>
      <c r="K36" s="63" t="s">
        <v>46</v>
      </c>
      <c r="M36"/>
    </row>
    <row r="37" spans="4:13" x14ac:dyDescent="0.35">
      <c r="D37" s="64" t="e">
        <f>IF(AND(OR(F25="sl",F25="b"),F27=""),0,NA())</f>
        <v>#N/A</v>
      </c>
      <c r="E37" s="65" t="e">
        <f>IF(AND(OR(F25="sl",F25="b"),F27=""),D26,NA())</f>
        <v>#N/A</v>
      </c>
      <c r="F37" s="66" t="e">
        <f>IF(AND(OR(F25="sl",F25="b"),F27=""),0,NA())</f>
        <v>#N/A</v>
      </c>
      <c r="H37" s="67">
        <v>1</v>
      </c>
      <c r="I37" s="68">
        <f>IF( ISNUMBER( E37 ), E37, E38 )</f>
        <v>-8.2610365010519864</v>
      </c>
      <c r="J37" s="69">
        <v>1</v>
      </c>
      <c r="K37" s="70">
        <f>IF( ISNUMBER( E37 ), F37, F38 )</f>
        <v>1.6049919004539339E-4</v>
      </c>
      <c r="M37"/>
    </row>
    <row r="38" spans="4:13" x14ac:dyDescent="0.35">
      <c r="D38" s="49">
        <f>IF(F27&lt;&gt;"",NA(),0.001)</f>
        <v>1E-3</v>
      </c>
      <c r="E38" s="50">
        <f>IF(F27&lt;&gt;"",NA(),IF(F25="u",F26+(1/2)*(LN((1-E25)/E25))^-1*(D27-E26)*LN(D38/(1-D38))+((1-2*E25)*(LN((1-E25)/E25)))^-1*(1-2*(F26-E26)/(D27-E26))*(D27-E26)*(D38-0.5)*LN(D38/(1-D38)),IF(F25="sl",D26+EXP(LN(F26-D26)+(1/2)*(LN((1-E25)/E25))^-1*LN((D27-D26)/(E26-D26))*LN(D38/(1-D38))+((1-2*E25)*(LN((1-E25)/E25)))^-1*LN(((D27-D26)*(E26-D26))/(F26-D26)^2)*(D38-0.5)*LN(D38/(1-D38))),IF(F25="su",E27-EXP(-(-LN(E27-F26)-(1/2)*(LN((1-E25)/E25))^-1*LN((E27-D27)/(E27-E26))*LN(D38/(1-D38))-((1-2*E25)*(LN((1-E25)/E25)))^-1*LN(((E27-D27)*(E27-E26))/(E27-F26)^2)*(D38-0.5)*LN(D38/(1-D38)))),IF(F25="b",(D26+E27*EXP(LN((F26-D26)/(E27-F26))+(1/2)*(LN((1-E25)/E25))^-1*LN(((D27-D26)/(E27-D27))/((E26-D26)/(E27-E26)))*LN(D38/(1-D38))+((1-2*E25)*(LN((1-E25)/E25)))^-1*LN((((D27-D26)/(E27-D27))*((E26-D26)/(E27-E26)))/((F26-D26)/(E27-F26))^2)*(D38-0.5)*LN(D38/(1-D38))))/(1+EXP(LN((F26-D26)/(E27-F26))+(1/2)*(LN((1-E25)/E25))^-1*LN(((D27-D26)/(E27-D27))/((E26-D26)/(E27-E26)))*LN(D38/(1-D38))+((1-2*E25)*(LN((1-E25)/E25)))^-1*LN((((D27-D26)/(E27-D27))*((E26-D26)/(E27-E26)))/((F26-D26)/(E27-F26))^2)*(D38-0.5)*LN(D38/(1-D38)))),NA())))))</f>
        <v>-8.2610365010519864</v>
      </c>
      <c r="F38" s="51">
        <f>IF(F27&lt;&gt;"",NA(),IF(F25="u",((1/2)*(LN((1-E25)/E25))^-1*(D27-E26)/(D38*(1-D38))+((1-2*E25)*(LN((1-E25)/E25)))^-1*(1-2*(F26-E26)/(D27-E26))*(D27-E26)*((D38-0.5)/(D38*(1-D38))+LN(D38/(1-D38))))^(-1),IF(F25="sl",((1/2)*(LN((1-E25)/E25))^-1*LN((D27-D26)/(E26-D26))/(D38*(1-D38))+((1-2*E25)*(LN((1-E25)/E25)))^-1*LN(((D27-D26)*(E26-D26))/(F26-D26)^2)*((D38-0.5)/(D38*(1-D38))+LN(D38/(1-D38))))^(-1)*EXP(-(LN(F26-D26)+(1/2)*(LN((1-E25)/E25))^-1*LN((D27-D26)/(E26-D26))*LN(D38/(1-D38))+((1-2*E25)*(LN((1-E25)/E25)))^-1*LN(((D27-D26)*(E26-D26))/(F26-D26)^2)*(D38-0.5)*LN(D38/(1-D38)))),IF(F25="su",(-(1/2)*(LN((1-E25)/E25))^-1*LN((E27-D27)/(E27-E26))/(D38*(1-D38))-((1-2*E25)*(LN((1-E25)/E25)))^-1*LN(((E27-D27)*(E27-E26))/(E27-F26)^2)*((D38-0.5)/(D38*(1-D38))+LN(D38/(1-D38))))^(-1)*EXP((-LN(E27-F26)-(1/2)*(LN((1-E25)/E25))^-1*LN((E27-D27)/(E27-E26))*LN(D38/(1-D38))-((1-2*E25)*(LN((1-E25)/E25)))^-1*LN(((E27-D27)*(E27-E26))/(E27-F26)^2)*(D38-0.5)*LN(D38/(1-D38)))),IF(F25="b",((1/2)*(LN((1-E25)/E25))^-1*LN(((D27-D26)/(E27-D27))/((E26-D26)/(E27-E26)))/(D38*(1-D38))+((1-2*E25)*(LN((1-E25)/E25)))^-1*LN((((D27-D26)/(E27-D27))*((E26-D26)/(E27-E26)))/((F26-D26)/(E27-F26))^2)*((D38-0.5)/(D38*(1-D38))+LN(D38/(1-D38))))^(-1)*(1+EXP(LN((F26-D26)/(E27-F26))+(1/2)*(LN((1-E25)/E25))^-1*LN(((D27-D26)/(E27-D27))/((E26-D26)/(E27-E26)))*LN(D38/(1-D38))+((1-2*E25)*(LN((1-E25)/E25)))^-1*LN((((D27-D26)/(E27-D27))*((E26-D26)/(E27-E26)))/((F26-D26)/(E27-F26))^2)*(D38-0.5)*LN(D38/(1-D38))))^2/((E27-D26)*EXP(LN((F26-D26)/(E27-F26))+(1/2)*(LN((1-E25)/E25))^-1*LN(((D27-D26)/(E27-D27))/((E26-D26)/(E27-E26)))*LN(D38/(1-D38))+((1-2*E25)*(LN((1-E25)/E25)))^-1*LN((((D27-D26)/(E27-D27))*((E26-D26)/(E27-E26)))/((F26-D26)/(E27-F26))^2)*(D38-0.5)*LN(D38/(1-D38)))),NA())))))</f>
        <v>1.6049919004539339E-4</v>
      </c>
      <c r="H38" s="71">
        <v>2</v>
      </c>
      <c r="I38" s="68">
        <f t="shared" ref="I38:I69" si="1">I37+I$35</f>
        <v>-6.9909760711089008</v>
      </c>
      <c r="J38" s="69">
        <f t="shared" ref="J38:J69" si="2">LOOKUP( I38, E$37:E$143, H$37:H$143 )</f>
        <v>2</v>
      </c>
      <c r="K38" s="70">
        <f t="shared" ref="K38:K69" si="3">INDEX( F$37:F$143, J38, 1 ) + (( I38 - INDEX( E$37:E$143, J38, 1 )) / ( INDEX( E$37:E$143, J38+1, 1 ) - INDEX( E$37:E$143, J38, 1 ))) * ( INDEX( F$37:F$143, J38 + 1, 1 ) - INDEX( F$37:F$143, J38, 1 ))</f>
        <v>2.2072739500159083E-4</v>
      </c>
      <c r="M38"/>
    </row>
    <row r="39" spans="4:13" x14ac:dyDescent="0.35">
      <c r="D39" s="49">
        <f>IF(F27&lt;&gt;"",NA(),0.003)</f>
        <v>3.0000000000000001E-3</v>
      </c>
      <c r="E39" s="50">
        <f>IF(F27&lt;&gt;"",NA(),IF(F25="u",F26+(1/2)*(LN((1-E25)/E25))^-1*(D27-E26)*LN(D39/(1-D39))+((1-2*E25)*(LN((1-E25)/E25)))^-1*(1-2*(F26-E26)/(D27-E26))*(D27-E26)*(D39-0.5)*LN(D39/(1-D39)),IF(F25="sl",D26+EXP(LN(F26-D26)+(1/2)*(LN((1-E25)/E25))^-1*LN((D27-D26)/(E26-D26))*LN(D39/(1-D39))+((1-2*E25)*(LN((1-E25)/E25)))^-1*LN(((D27-D26)*(E26-D26))/(F26-D26)^2)*(D39-0.5)*LN(D39/(1-D39))),IF(F25="su",E27-EXP(-(-LN(E27-F26)-(1/2)*(LN((1-E25)/E25))^-1*LN((E27-D27)/(E27-E26))*LN(D39/(1-D39))-((1-2*E25)*(LN((1-E25)/E25)))^-1*LN(((E27-D27)*(E27-E26))/(E27-F26)^2)*(D39-0.5)*LN(D39/(1-D39)))),IF(F25="b",(D26+E27*EXP(LN((F26-D26)/(E27-F26))+(1/2)*(LN((1-E25)/E25))^-1*LN(((D27-D26)/(E27-D27))/((E26-D26)/(E27-E26)))*LN(D39/(1-D39))+((1-2*E25)*(LN((1-E25)/E25)))^-1*LN((((D27-D26)/(E27-D27))*((E26-D26)/(E27-E26)))/((F26-D26)/(E27-F26))^2)*(D39-0.5)*LN(D39/(1-D39))))/(1+EXP(LN((F26-D26)/(E27-F26))+(1/2)*(LN((1-E25)/E25))^-1*LN(((D27-D26)/(E27-D27))/((E26-D26)/(E27-E26)))*LN(D39/(1-D39))+((1-2*E25)*(LN((1-E25)/E25)))^-1*LN((((D27-D26)/(E27-D27))*((E26-D26)/(E27-E26)))/((F26-D26)/(E27-F26))^2)*(D39-0.5)*LN(D39/(1-D39)))),NA())))))</f>
        <v>-1.4332964124621093</v>
      </c>
      <c r="F39" s="51">
        <f>IF(F27&lt;&gt;"",NA(),IF(F25="u",((1/2)*(LN((1-E25)/E25))^-1*(D27-E26)/(D39*(1-D39))+((1-2*E25)*(LN((1-E25)/E25)))^-1*(1-2*(F26-E26)/(D27-E26))*(D27-E26)*((D39-0.5)/(D39*(1-D39))+LN(D39/(1-D39))))^(-1),IF(F25="sl",((1/2)*(LN((1-E25)/E25))^-1*LN((D27-D26)/(E26-D26))/(D39*(1-D39))+((1-2*E25)*(LN((1-E25)/E25)))^-1*LN(((D27-D26)*(E26-D26))/(F26-D26)^2)*((D39-0.5)/(D39*(1-D39))+LN(D39/(1-D39))))^(-1)*EXP(-(LN(F26-D26)+(1/2)*(LN((1-E25)/E25))^-1*LN((D27-D26)/(E26-D26))*LN(D39/(1-D39))+((1-2*E25)*(LN((1-E25)/E25)))^-1*LN(((D27-D26)*(E26-D26))/(F26-D26)^2)*(D39-0.5)*LN(D39/(1-D39)))),IF(F25="su",(-(1/2)*(LN((1-E25)/E25))^-1*LN((E27-D27)/(E27-E26))/(D39*(1-D39))-((1-2*E25)*(LN((1-E25)/E25)))^-1*LN(((E27-D27)*(E27-E26))/(E27-F26)^2)*((D39-0.5)/(D39*(1-D39))+LN(D39/(1-D39))))^(-1)*EXP((-LN(E27-F26)-(1/2)*(LN((1-E25)/E25))^-1*LN((E27-D27)/(E27-E26))*LN(D39/(1-D39))-((1-2*E25)*(LN((1-E25)/E25)))^-1*LN(((E27-D27)*(E27-E26))/(E27-F26)^2)*(D39-0.5)*LN(D39/(1-D39)))),IF(F25="b",((1/2)*(LN((1-E25)/E25))^-1*LN(((D27-D26)/(E27-D27))/((E26-D26)/(E27-E26)))/(D39*(1-D39))+((1-2*E25)*(LN((1-E25)/E25)))^-1*LN((((D27-D26)/(E27-D27))*((E26-D26)/(E27-E26)))/((F26-D26)/(E27-F26))^2)*((D39-0.5)/(D39*(1-D39))+LN(D39/(1-D39))))^(-1)*(1+EXP(LN((F26-D26)/(E27-F26))+(1/2)*(LN((1-E25)/E25))^-1*LN(((D27-D26)/(E27-D27))/((E26-D26)/(E27-E26)))*LN(D39/(1-D39))+((1-2*E25)*(LN((1-E25)/E25)))^-1*LN((((D27-D26)/(E27-D27))*((E26-D26)/(E27-E26)))/((F26-D26)/(E27-F26))^2)*(D39-0.5)*LN(D39/(1-D39))))^2/((E27-D26)*EXP(LN((F26-D26)/(E27-F26))+(1/2)*(LN((1-E25)/E25))^-1*LN(((D27-D26)/(E27-D27))/((E26-D26)/(E27-E26)))*LN(D39/(1-D39))+((1-2*E25)*(LN((1-E25)/E25)))^-1*LN((((D27-D26)/(E27-D27))*((E26-D26)/(E27-E26)))/((F26-D26)/(E27-F26))^2)*(D39-0.5)*LN(D39/(1-D39)))),NA())))))</f>
        <v>4.8428105093028433E-4</v>
      </c>
      <c r="H39" s="71">
        <v>3</v>
      </c>
      <c r="I39" s="68">
        <f t="shared" si="1"/>
        <v>-5.7209156411658153</v>
      </c>
      <c r="J39" s="69">
        <f t="shared" si="2"/>
        <v>2</v>
      </c>
      <c r="K39" s="70">
        <f t="shared" si="3"/>
        <v>2.8095559995778831E-4</v>
      </c>
      <c r="M39"/>
    </row>
    <row r="40" spans="4:13" x14ac:dyDescent="0.35">
      <c r="D40" s="49">
        <f>IF(F27&lt;&gt;"",NA(),0.006)</f>
        <v>6.0000000000000001E-3</v>
      </c>
      <c r="E40" s="50">
        <f>IF(F27&lt;&gt;"",NA(),IF(F25="u",F26+(1/2)*(LN((1-E25)/E25))^-1*(D27-E26)*LN(D40/(1-D40))+((1-2*E25)*(LN((1-E25)/E25)))^-1*(1-2*(F26-E26)/(D27-E26))*(D27-E26)*(D40-0.5)*LN(D40/(1-D40)),IF(F25="sl",D26+EXP(LN(F26-D26)+(1/2)*(LN((1-E25)/E25))^-1*LN((D27-D26)/(E26-D26))*LN(D40/(1-D40))+((1-2*E25)*(LN((1-E25)/E25)))^-1*LN(((D27-D26)*(E26-D26))/(F26-D26)^2)*(D40-0.5)*LN(D40/(1-D40))),IF(F25="su",E27-EXP(-(-LN(E27-F26)-(1/2)*(LN((1-E25)/E25))^-1*LN((E27-D27)/(E27-E26))*LN(D40/(1-D40))-((1-2*E25)*(LN((1-E25)/E25)))^-1*LN(((E27-D27)*(E27-E26))/(E27-F26)^2)*(D40-0.5)*LN(D40/(1-D40)))),IF(F25="b",(D26+E27*EXP(LN((F26-D26)/(E27-F26))+(1/2)*(LN((1-E25)/E25))^-1*LN(((D27-D26)/(E27-D27))/((E26-D26)/(E27-E26)))*LN(D40/(1-D40))+((1-2*E25)*(LN((1-E25)/E25)))^-1*LN((((D27-D26)/(E27-D27))*((E26-D26)/(E27-E26)))/((F26-D26)/(E27-F26))^2)*(D40-0.5)*LN(D40/(1-D40))))/(1+EXP(LN((F26-D26)/(E27-F26))+(1/2)*(LN((1-E25)/E25))^-1*LN(((D27-D26)/(E27-D27))/((E26-D26)/(E27-E26)))*LN(D40/(1-D40))+((1-2*E25)*(LN((1-E25)/E25)))^-1*LN((((D27-D26)/(E27-D27))*((E26-D26)/(E27-E26)))/((F26-D26)/(E27-F26))^2)*(D40-0.5)*LN(D40/(1-D40)))),NA())))))</f>
        <v>2.84787365450123</v>
      </c>
      <c r="F40" s="51">
        <f>IF(F27&lt;&gt;"",NA(),IF(F25="u",((1/2)*(LN((1-E25)/E25))^-1*(D27-E26)/(D40*(1-D40))+((1-2*E25)*(LN((1-E25)/E25)))^-1*(1-2*(F26-E26)/(D27-E26))*(D27-E26)*((D40-0.5)/(D40*(1-D40))+LN(D40/(1-D40))))^(-1),IF(F25="sl",((1/2)*(LN((1-E25)/E25))^-1*LN((D27-D26)/(E26-D26))/(D40*(1-D40))+((1-2*E25)*(LN((1-E25)/E25)))^-1*LN(((D27-D26)*(E26-D26))/(F26-D26)^2)*((D40-0.5)/(D40*(1-D40))+LN(D40/(1-D40))))^(-1)*EXP(-(LN(F26-D26)+(1/2)*(LN((1-E25)/E25))^-1*LN((D27-D26)/(E26-D26))*LN(D40/(1-D40))+((1-2*E25)*(LN((1-E25)/E25)))^-1*LN(((D27-D26)*(E26-D26))/(F26-D26)^2)*(D40-0.5)*LN(D40/(1-D40)))),IF(F25="su",(-(1/2)*(LN((1-E25)/E25))^-1*LN((E27-D27)/(E27-E26))/(D40*(1-D40))-((1-2*E25)*(LN((1-E25)/E25)))^-1*LN(((E27-D27)*(E27-E26))/(E27-F26)^2)*((D40-0.5)/(D40*(1-D40))+LN(D40/(1-D40))))^(-1)*EXP((-LN(E27-F26)-(1/2)*(LN((1-E25)/E25))^-1*LN((E27-D27)/(E27-E26))*LN(D40/(1-D40))-((1-2*E25)*(LN((1-E25)/E25)))^-1*LN(((E27-D27)*(E27-E26))/(E27-F26)^2)*(D40-0.5)*LN(D40/(1-D40)))),IF(F25="b",((1/2)*(LN((1-E25)/E25))^-1*LN(((D27-D26)/(E27-D27))/((E26-D26)/(E27-E26)))/(D40*(1-D40))+((1-2*E25)*(LN((1-E25)/E25)))^-1*LN((((D27-D26)/(E27-D27))*((E26-D26)/(E27-E26)))/((F26-D26)/(E27-F26))^2)*((D40-0.5)/(D40*(1-D40))+LN(D40/(1-D40))))^(-1)*(1+EXP(LN((F26-D26)/(E27-F26))+(1/2)*(LN((1-E25)/E25))^-1*LN(((D27-D26)/(E27-D27))/((E26-D26)/(E27-E26)))*LN(D40/(1-D40))+((1-2*E25)*(LN((1-E25)/E25)))^-1*LN((((D27-D26)/(E27-D27))*((E26-D26)/(E27-E26)))/((F26-D26)/(E27-F26))^2)*(D40-0.5)*LN(D40/(1-D40))))^2/((E27-D26)*EXP(LN((F26-D26)/(E27-F26))+(1/2)*(LN((1-E25)/E25))^-1*LN(((D27-D26)/(E27-D27))/((E26-D26)/(E27-E26)))*LN(D40/(1-D40))+((1-2*E25)*(LN((1-E25)/E25)))^-1*LN((((D27-D26)/(E27-D27))*((E26-D26)/(E27-E26)))/((F26-D26)/(E27-F26))^2)*(D40-0.5)*LN(D40/(1-D40)))),NA())))))</f>
        <v>9.7472459927401003E-4</v>
      </c>
      <c r="H40" s="71">
        <v>4</v>
      </c>
      <c r="I40" s="68">
        <f t="shared" si="1"/>
        <v>-4.4508552112227298</v>
      </c>
      <c r="J40" s="69">
        <f t="shared" si="2"/>
        <v>2</v>
      </c>
      <c r="K40" s="70">
        <f t="shared" si="3"/>
        <v>3.4118380491398573E-4</v>
      </c>
      <c r="M40"/>
    </row>
    <row r="41" spans="4:13" x14ac:dyDescent="0.35">
      <c r="D41" s="49">
        <f>IF(F27&lt;&gt;"",NA(),(ROW()-ROW(D40))/100)</f>
        <v>0.01</v>
      </c>
      <c r="E41" s="50">
        <f>IF(F27&lt;&gt;"",NA(),IF(F25="u",F26+(1/2)*(LN((1-E25)/E25))^-1*(D27-E26)*LN(D41/(1-D41))+((1-2*E25)*(LN((1-E25)/E25)))^-1*(1-2*(F26-E26)/(D27-E26))*(D27-E26)*(D41-0.5)*LN(D41/(1-D41)),IF(F25="sl",D26+EXP(LN(F26-D26)+(1/2)*(LN((1-E25)/E25))^-1*LN((D27-D26)/(E26-D26))*LN(D41/(1-D41))+((1-2*E25)*(LN((1-E25)/E25)))^-1*LN(((D27-D26)*(E26-D26))/(F26-D26)^2)*(D41-0.5)*LN(D41/(1-D41))),IF(F25="su",E27-EXP(-(-LN(E27-F26)-(1/2)*(LN((1-E25)/E25))^-1*LN((E27-D27)/(E27-E26))*LN(D41/(1-D41))-((1-2*E25)*(LN((1-E25)/E25)))^-1*LN(((E27-D27)*(E27-E26))/(E27-F26)^2)*(D41-0.5)*LN(D41/(1-D41)))),IF(F25="b",(D26+E27*EXP(LN((F26-D26)/(E27-F26))+(1/2)*(LN((1-E25)/E25))^-1*LN(((D27-D26)/(E27-D27))/((E26-D26)/(E27-E26)))*LN(D41/(1-D41))+((1-2*E25)*(LN((1-E25)/E25)))^-1*LN((((D27-D26)/(E27-D27))*((E26-D26)/(E27-E26)))/((F26-D26)/(E27-F26))^2)*(D41-0.5)*LN(D41/(1-D41))))/(1+EXP(LN((F26-D26)/(E27-F26))+(1/2)*(LN((1-E25)/E25))^-1*LN(((D27-D26)/(E27-D27))/((E26-D26)/(E27-E26)))*LN(D41/(1-D41))+((1-2*E25)*(LN((1-E25)/E25)))^-1*LN((((D27-D26)/(E27-D27))*((E26-D26)/(E27-E26)))/((F26-D26)/(E27-F26))^2)*(D41-0.5)*LN(D41/(1-D41)))),NA())))))</f>
        <v>5.9828077756563012</v>
      </c>
      <c r="F41" s="51">
        <f>IF(F27&lt;&gt;"",NA(),IF(F25="u",((1/2)*(LN((1-E25)/E25))^-1*(D27-E26)/(D41*(1-D41))+((1-2*E25)*(LN((1-E25)/E25)))^-1*(1-2*(F26-E26)/(D27-E26))*(D27-E26)*((D41-0.5)/(D41*(1-D41))+LN(D41/(1-D41))))^(-1),IF(F25="sl",((1/2)*(LN((1-E25)/E25))^-1*LN((D27-D26)/(E26-D26))/(D41*(1-D41))+((1-2*E25)*(LN((1-E25)/E25)))^-1*LN(((D27-D26)*(E26-D26))/(F26-D26)^2)*((D41-0.5)/(D41*(1-D41))+LN(D41/(1-D41))))^(-1)*EXP(-(LN(F26-D26)+(1/2)*(LN((1-E25)/E25))^-1*LN((D27-D26)/(E26-D26))*LN(D41/(1-D41))+((1-2*E25)*(LN((1-E25)/E25)))^-1*LN(((D27-D26)*(E26-D26))/(F26-D26)^2)*(D41-0.5)*LN(D41/(1-D41)))),IF(F25="su",(-(1/2)*(LN((1-E25)/E25))^-1*LN((E27-D27)/(E27-E26))/(D41*(1-D41))-((1-2*E25)*(LN((1-E25)/E25)))^-1*LN(((E27-D27)*(E27-E26))/(E27-F26)^2)*((D41-0.5)/(D41*(1-D41))+LN(D41/(1-D41))))^(-1)*EXP((-LN(E27-F26)-(1/2)*(LN((1-E25)/E25))^-1*LN((E27-D27)/(E27-E26))*LN(D41/(1-D41))-((1-2*E25)*(LN((1-E25)/E25)))^-1*LN(((E27-D27)*(E27-E26))/(E27-F26)^2)*(D41-0.5)*LN(D41/(1-D41)))),IF(F25="b",((1/2)*(LN((1-E25)/E25))^-1*LN(((D27-D26)/(E27-D27))/((E26-D26)/(E27-E26)))/(D41*(1-D41))+((1-2*E25)*(LN((1-E25)/E25)))^-1*LN((((D27-D26)/(E27-D27))*((E26-D26)/(E27-E26)))/((F26-D26)/(E27-F26))^2)*((D41-0.5)/(D41*(1-D41))+LN(D41/(1-D41))))^(-1)*(1+EXP(LN((F26-D26)/(E27-F26))+(1/2)*(LN((1-E25)/E25))^-1*LN(((D27-D26)/(E27-D27))/((E26-D26)/(E27-E26)))*LN(D41/(1-D41))+((1-2*E25)*(LN((1-E25)/E25)))^-1*LN((((D27-D26)/(E27-D27))*((E26-D26)/(E27-E26)))/((F26-D26)/(E27-F26))^2)*(D41-0.5)*LN(D41/(1-D41))))^2/((E27-D26)*EXP(LN((F26-D26)/(E27-F26))+(1/2)*(LN((1-E25)/E25))^-1*LN(((D27-D26)/(E27-D27))/((E26-D26)/(E27-E26)))*LN(D41/(1-D41))+((1-2*E25)*(LN((1-E25)/E25)))^-1*LN((((D27-D26)/(E27-D27))*((E26-D26)/(E27-E26)))/((F26-D26)/(E27-F26))^2)*(D41-0.5)*LN(D41/(1-D41)))),NA())))))</f>
        <v>1.6347470876534262E-3</v>
      </c>
      <c r="H41" s="71">
        <v>5</v>
      </c>
      <c r="I41" s="68">
        <f t="shared" si="1"/>
        <v>-3.1807947812796442</v>
      </c>
      <c r="J41" s="69">
        <f t="shared" si="2"/>
        <v>2</v>
      </c>
      <c r="K41" s="70">
        <f t="shared" si="3"/>
        <v>4.014120098701832E-4</v>
      </c>
      <c r="M41"/>
    </row>
    <row r="42" spans="4:13" x14ac:dyDescent="0.35">
      <c r="D42" s="49">
        <f>IF(F27&lt;&gt;"",NA(),(ROW()-ROW(D40))/100)</f>
        <v>0.02</v>
      </c>
      <c r="E42" s="50">
        <f>IF(F27&lt;&gt;"",NA(),IF(F25="u",F26+(1/2)*(LN((1-E25)/E25))^-1*(D27-E26)*LN(D42/(1-D42))+((1-2*E25)*(LN((1-E25)/E25)))^-1*(1-2*(F26-E26)/(D27-E26))*(D27-E26)*(D42-0.5)*LN(D42/(1-D42)),IF(F25="sl",D26+EXP(LN(F26-D26)+(1/2)*(LN((1-E25)/E25))^-1*LN((D27-D26)/(E26-D26))*LN(D42/(1-D42))+((1-2*E25)*(LN((1-E25)/E25)))^-1*LN(((D27-D26)*(E26-D26))/(F26-D26)^2)*(D42-0.5)*LN(D42/(1-D42))),IF(F25="su",E27-EXP(-(-LN(E27-F26)-(1/2)*(LN((1-E25)/E25))^-1*LN((E27-D27)/(E27-E26))*LN(D42/(1-D42))-((1-2*E25)*(LN((1-E25)/E25)))^-1*LN(((E27-D27)*(E27-E26))/(E27-F26)^2)*(D42-0.5)*LN(D42/(1-D42)))),IF(F25="b",(D26+E27*EXP(LN((F26-D26)/(E27-F26))+(1/2)*(LN((1-E25)/E25))^-1*LN(((D27-D26)/(E27-D27))/((E26-D26)/(E27-E26)))*LN(D42/(1-D42))+((1-2*E25)*(LN((1-E25)/E25)))^-1*LN((((D27-D26)/(E27-D27))*((E26-D26)/(E27-E26)))/((F26-D26)/(E27-F26))^2)*(D42-0.5)*LN(D42/(1-D42))))/(1+EXP(LN((F26-D26)/(E27-F26))+(1/2)*(LN((1-E25)/E25))^-1*LN(((D27-D26)/(E27-D27))/((E26-D26)/(E27-E26)))*LN(D42/(1-D42))+((1-2*E25)*(LN((1-E25)/E25)))^-1*LN((((D27-D26)/(E27-D27))*((E26-D26)/(E27-E26)))/((F26-D26)/(E27-F26))^2)*(D42-0.5)*LN(D42/(1-D42)))),NA())))))</f>
        <v>10.20258751174009</v>
      </c>
      <c r="F42" s="51">
        <f>IF(F27&lt;&gt;"",NA(),IF(F25="u",((1/2)*(LN((1-E25)/E25))^-1*(D27-E26)/(D42*(1-D42))+((1-2*E25)*(LN((1-E25)/E25)))^-1*(1-2*(F26-E26)/(D27-E26))*(D27-E26)*((D42-0.5)/(D42*(1-D42))+LN(D42/(1-D42))))^(-1),IF(F25="sl",((1/2)*(LN((1-E25)/E25))^-1*LN((D27-D26)/(E26-D26))/(D42*(1-D42))+((1-2*E25)*(LN((1-E25)/E25)))^-1*LN(((D27-D26)*(E26-D26))/(F26-D26)^2)*((D42-0.5)/(D42*(1-D42))+LN(D42/(1-D42))))^(-1)*EXP(-(LN(F26-D26)+(1/2)*(LN((1-E25)/E25))^-1*LN((D27-D26)/(E26-D26))*LN(D42/(1-D42))+((1-2*E25)*(LN((1-E25)/E25)))^-1*LN(((D27-D26)*(E26-D26))/(F26-D26)^2)*(D42-0.5)*LN(D42/(1-D42)))),IF(F25="su",(-(1/2)*(LN((1-E25)/E25))^-1*LN((E27-D27)/(E27-E26))/(D42*(1-D42))-((1-2*E25)*(LN((1-E25)/E25)))^-1*LN(((E27-D27)*(E27-E26))/(E27-F26)^2)*((D42-0.5)/(D42*(1-D42))+LN(D42/(1-D42))))^(-1)*EXP((-LN(E27-F26)-(1/2)*(LN((1-E25)/E25))^-1*LN((E27-D27)/(E27-E26))*LN(D42/(1-D42))-((1-2*E25)*(LN((1-E25)/E25)))^-1*LN(((E27-D27)*(E27-E26))/(E27-F26)^2)*(D42-0.5)*LN(D42/(1-D42)))),IF(F25="b",((1/2)*(LN((1-E25)/E25))^-1*LN(((D27-D26)/(E27-D27))/((E26-D26)/(E27-E26)))/(D42*(1-D42))+((1-2*E25)*(LN((1-E25)/E25)))^-1*LN((((D27-D26)/(E27-D27))*((E26-D26)/(E27-E26)))/((F26-D26)/(E27-F26))^2)*((D42-0.5)/(D42*(1-D42))+LN(D42/(1-D42))))^(-1)*(1+EXP(LN((F26-D26)/(E27-F26))+(1/2)*(LN((1-E25)/E25))^-1*LN(((D27-D26)/(E27-D27))/((E26-D26)/(E27-E26)))*LN(D42/(1-D42))+((1-2*E25)*(LN((1-E25)/E25)))^-1*LN((((D27-D26)/(E27-D27))*((E26-D26)/(E27-E26)))/((F26-D26)/(E27-F26))^2)*(D42-0.5)*LN(D42/(1-D42))))^2/((E27-D26)*EXP(LN((F26-D26)/(E27-F26))+(1/2)*(LN((1-E25)/E25))^-1*LN(((D27-D26)/(E27-D27))/((E26-D26)/(E27-E26)))*LN(D42/(1-D42))+((1-2*E25)*(LN((1-E25)/E25)))^-1*LN((((D27-D26)/(E27-D27))*((E26-D26)/(E27-E26)))/((F26-D26)/(E27-F26))^2)*(D42-0.5)*LN(D42/(1-D42)))),NA())))))</f>
        <v>3.3009303968930879E-3</v>
      </c>
      <c r="H42" s="71">
        <v>6</v>
      </c>
      <c r="I42" s="68">
        <f t="shared" si="1"/>
        <v>-1.9107343513365589</v>
      </c>
      <c r="J42" s="69">
        <f t="shared" si="2"/>
        <v>2</v>
      </c>
      <c r="K42" s="70">
        <f t="shared" si="3"/>
        <v>4.6164021482638067E-4</v>
      </c>
      <c r="M42"/>
    </row>
    <row r="43" spans="4:13" x14ac:dyDescent="0.35">
      <c r="D43" s="49">
        <f>IF(F27&lt;&gt;"",NA(),(ROW()-ROW(D40))/100)</f>
        <v>0.03</v>
      </c>
      <c r="E43" s="50">
        <f>IF(F27&lt;&gt;"",NA(),IF(F25="u",F26+(1/2)*(LN((1-E25)/E25))^-1*(D27-E26)*LN(D43/(1-D43))+((1-2*E25)*(LN((1-E25)/E25)))^-1*(1-2*(F26-E26)/(D27-E26))*(D27-E26)*(D43-0.5)*LN(D43/(1-D43)),IF(F25="sl",D26+EXP(LN(F26-D26)+(1/2)*(LN((1-E25)/E25))^-1*LN((D27-D26)/(E26-D26))*LN(D43/(1-D43))+((1-2*E25)*(LN((1-E25)/E25)))^-1*LN(((D27-D26)*(E26-D26))/(F26-D26)^2)*(D43-0.5)*LN(D43/(1-D43))),IF(F25="su",E27-EXP(-(-LN(E27-F26)-(1/2)*(LN((1-E25)/E25))^-1*LN((E27-D27)/(E27-E26))*LN(D43/(1-D43))-((1-2*E25)*(LN((1-E25)/E25)))^-1*LN(((E27-D27)*(E27-E26))/(E27-F26)^2)*(D43-0.5)*LN(D43/(1-D43)))),IF(F25="b",(D26+E27*EXP(LN((F26-D26)/(E27-F26))+(1/2)*(LN((1-E25)/E25))^-1*LN(((D27-D26)/(E27-D27))/((E26-D26)/(E27-E26)))*LN(D43/(1-D43))+((1-2*E25)*(LN((1-E25)/E25)))^-1*LN((((D27-D26)/(E27-D27))*((E26-D26)/(E27-E26)))/((F26-D26)/(E27-F26))^2)*(D43-0.5)*LN(D43/(1-D43))))/(1+EXP(LN((F26-D26)/(E27-F26))+(1/2)*(LN((1-E25)/E25))^-1*LN(((D27-D26)/(E27-D27))/((E26-D26)/(E27-E26)))*LN(D43/(1-D43))+((1-2*E25)*(LN((1-E25)/E25)))^-1*LN((((D27-D26)/(E27-D27))*((E26-D26)/(E27-E26)))/((F26-D26)/(E27-F26))^2)*(D43-0.5)*LN(D43/(1-D43)))),NA())))))</f>
        <v>12.653675231755811</v>
      </c>
      <c r="F43" s="51">
        <f>IF(F27&lt;&gt;"",NA(),IF(F25="u",((1/2)*(LN((1-E25)/E25))^-1*(D27-E26)/(D43*(1-D43))+((1-2*E25)*(LN((1-E25)/E25)))^-1*(1-2*(F26-E26)/(D27-E26))*(D27-E26)*((D43-0.5)/(D43*(1-D43))+LN(D43/(1-D43))))^(-1),IF(F25="sl",((1/2)*(LN((1-E25)/E25))^-1*LN((D27-D26)/(E26-D26))/(D43*(1-D43))+((1-2*E25)*(LN((1-E25)/E25)))^-1*LN(((D27-D26)*(E26-D26))/(F26-D26)^2)*((D43-0.5)/(D43*(1-D43))+LN(D43/(1-D43))))^(-1)*EXP(-(LN(F26-D26)+(1/2)*(LN((1-E25)/E25))^-1*LN((D27-D26)/(E26-D26))*LN(D43/(1-D43))+((1-2*E25)*(LN((1-E25)/E25)))^-1*LN(((D27-D26)*(E26-D26))/(F26-D26)^2)*(D43-0.5)*LN(D43/(1-D43)))),IF(F25="su",(-(1/2)*(LN((1-E25)/E25))^-1*LN((E27-D27)/(E27-E26))/(D43*(1-D43))-((1-2*E25)*(LN((1-E25)/E25)))^-1*LN(((E27-D27)*(E27-E26))/(E27-F26)^2)*((D43-0.5)/(D43*(1-D43))+LN(D43/(1-D43))))^(-1)*EXP((-LN(E27-F26)-(1/2)*(LN((1-E25)/E25))^-1*LN((E27-D27)/(E27-E26))*LN(D43/(1-D43))-((1-2*E25)*(LN((1-E25)/E25)))^-1*LN(((E27-D27)*(E27-E26))/(E27-F26)^2)*(D43-0.5)*LN(D43/(1-D43)))),IF(F25="b",((1/2)*(LN((1-E25)/E25))^-1*LN(((D27-D26)/(E27-D27))/((E26-D26)/(E27-E26)))/(D43*(1-D43))+((1-2*E25)*(LN((1-E25)/E25)))^-1*LN((((D27-D26)/(E27-D27))*((E26-D26)/(E27-E26)))/((F26-D26)/(E27-F26))^2)*((D43-0.5)/(D43*(1-D43))+LN(D43/(1-D43))))^(-1)*(1+EXP(LN((F26-D26)/(E27-F26))+(1/2)*(LN((1-E25)/E25))^-1*LN(((D27-D26)/(E27-D27))/((E26-D26)/(E27-E26)))*LN(D43/(1-D43))+((1-2*E25)*(LN((1-E25)/E25)))^-1*LN((((D27-D26)/(E27-D27))*((E26-D26)/(E27-E26)))/((F26-D26)/(E27-F26))^2)*(D43-0.5)*LN(D43/(1-D43))))^2/((E27-D26)*EXP(LN((F26-D26)/(E27-F26))+(1/2)*(LN((1-E25)/E25))^-1*LN(((D27-D26)/(E27-D27))/((E26-D26)/(E27-E26)))*LN(D43/(1-D43))+((1-2*E25)*(LN((1-E25)/E25)))^-1*LN((((D27-D26)/(E27-D27))*((E26-D26)/(E27-E26)))/((F26-D26)/(E27-F26))^2)*(D43-0.5)*LN(D43/(1-D43)))),NA())))))</f>
        <v>4.9717267327358278E-3</v>
      </c>
      <c r="H43" s="71">
        <v>7</v>
      </c>
      <c r="I43" s="68">
        <f t="shared" si="1"/>
        <v>-0.64067392139347357</v>
      </c>
      <c r="J43" s="69">
        <f t="shared" si="2"/>
        <v>3</v>
      </c>
      <c r="K43" s="70">
        <f t="shared" si="3"/>
        <v>5.750825329869124E-4</v>
      </c>
      <c r="M43"/>
    </row>
    <row r="44" spans="4:13" x14ac:dyDescent="0.35">
      <c r="D44" s="49">
        <f>IF(F27&lt;&gt;"",NA(),(ROW()-ROW(D40))/100)</f>
        <v>0.04</v>
      </c>
      <c r="E44" s="50">
        <f>IF(F27&lt;&gt;"",NA(),IF(F25="u",F26+(1/2)*(LN((1-E25)/E25))^-1*(D27-E26)*LN(D44/(1-D44))+((1-2*E25)*(LN((1-E25)/E25)))^-1*(1-2*(F26-E26)/(D27-E26))*(D27-E26)*(D44-0.5)*LN(D44/(1-D44)),IF(F25="sl",D26+EXP(LN(F26-D26)+(1/2)*(LN((1-E25)/E25))^-1*LN((D27-D26)/(E26-D26))*LN(D44/(1-D44))+((1-2*E25)*(LN((1-E25)/E25)))^-1*LN(((D27-D26)*(E26-D26))/(F26-D26)^2)*(D44-0.5)*LN(D44/(1-D44))),IF(F25="su",E27-EXP(-(-LN(E27-F26)-(1/2)*(LN((1-E25)/E25))^-1*LN((E27-D27)/(E27-E26))*LN(D44/(1-D44))-((1-2*E25)*(LN((1-E25)/E25)))^-1*LN(((E27-D27)*(E27-E26))/(E27-F26)^2)*(D44-0.5)*LN(D44/(1-D44)))),IF(F25="b",(D26+E27*EXP(LN((F26-D26)/(E27-F26))+(1/2)*(LN((1-E25)/E25))^-1*LN(((D27-D26)/(E27-D27))/((E26-D26)/(E27-E26)))*LN(D44/(1-D44))+((1-2*E25)*(LN((1-E25)/E25)))^-1*LN((((D27-D26)/(E27-D27))*((E26-D26)/(E27-E26)))/((F26-D26)/(E27-F26))^2)*(D44-0.5)*LN(D44/(1-D44))))/(1+EXP(LN((F26-D26)/(E27-F26))+(1/2)*(LN((1-E25)/E25))^-1*LN(((D27-D26)/(E27-D27))/((E26-D26)/(E27-E26)))*LN(D44/(1-D44))+((1-2*E25)*(LN((1-E25)/E25)))^-1*LN((((D27-D26)/(E27-D27))*((E26-D26)/(E27-E26)))/((F26-D26)/(E27-F26))^2)*(D44-0.5)*LN(D44/(1-D44)))),NA())))))</f>
        <v>14.388876517410104</v>
      </c>
      <c r="F44" s="51">
        <f>IF(F27&lt;&gt;"",NA(),IF(F25="u",((1/2)*(LN((1-E25)/E25))^-1*(D27-E26)/(D44*(1-D44))+((1-2*E25)*(LN((1-E25)/E25)))^-1*(1-2*(F26-E26)/(D27-E26))*(D27-E26)*((D44-0.5)/(D44*(1-D44))+LN(D44/(1-D44))))^(-1),IF(F25="sl",((1/2)*(LN((1-E25)/E25))^-1*LN((D27-D26)/(E26-D26))/(D44*(1-D44))+((1-2*E25)*(LN((1-E25)/E25)))^-1*LN(((D27-D26)*(E26-D26))/(F26-D26)^2)*((D44-0.5)/(D44*(1-D44))+LN(D44/(1-D44))))^(-1)*EXP(-(LN(F26-D26)+(1/2)*(LN((1-E25)/E25))^-1*LN((D27-D26)/(E26-D26))*LN(D44/(1-D44))+((1-2*E25)*(LN((1-E25)/E25)))^-1*LN(((D27-D26)*(E26-D26))/(F26-D26)^2)*(D44-0.5)*LN(D44/(1-D44)))),IF(F25="su",(-(1/2)*(LN((1-E25)/E25))^-1*LN((E27-D27)/(E27-E26))/(D44*(1-D44))-((1-2*E25)*(LN((1-E25)/E25)))^-1*LN(((E27-D27)*(E27-E26))/(E27-F26)^2)*((D44-0.5)/(D44*(1-D44))+LN(D44/(1-D44))))^(-1)*EXP((-LN(E27-F26)-(1/2)*(LN((1-E25)/E25))^-1*LN((E27-D27)/(E27-E26))*LN(D44/(1-D44))-((1-2*E25)*(LN((1-E25)/E25)))^-1*LN(((E27-D27)*(E27-E26))/(E27-F26)^2)*(D44-0.5)*LN(D44/(1-D44)))),IF(F25="b",((1/2)*(LN((1-E25)/E25))^-1*LN(((D27-D26)/(E27-D27))/((E26-D26)/(E27-E26)))/(D44*(1-D44))+((1-2*E25)*(LN((1-E25)/E25)))^-1*LN((((D27-D26)/(E27-D27))*((E26-D26)/(E27-E26)))/((F26-D26)/(E27-F26))^2)*((D44-0.5)/(D44*(1-D44))+LN(D44/(1-D44))))^(-1)*(1+EXP(LN((F26-D26)/(E27-F26))+(1/2)*(LN((1-E25)/E25))^-1*LN(((D27-D26)/(E27-D27))/((E26-D26)/(E27-E26)))*LN(D44/(1-D44))+((1-2*E25)*(LN((1-E25)/E25)))^-1*LN((((D27-D26)/(E27-D27))*((E26-D26)/(E27-E26)))/((F26-D26)/(E27-F26))^2)*(D44-0.5)*LN(D44/(1-D44))))^2/((E27-D26)*EXP(LN((F26-D26)/(E27-F26))+(1/2)*(LN((1-E25)/E25))^-1*LN(((D27-D26)/(E27-D27))/((E26-D26)/(E27-E26)))*LN(D44/(1-D44))+((1-2*E25)*(LN((1-E25)/E25)))^-1*LN((((D27-D26)/(E27-D27))*((E26-D26)/(E27-E26)))/((F26-D26)/(E27-F26))^2)*(D44-0.5)*LN(D44/(1-D44)))),NA())))))</f>
        <v>6.6307672013204005E-3</v>
      </c>
      <c r="H44" s="71">
        <v>8</v>
      </c>
      <c r="I44" s="68">
        <f t="shared" si="1"/>
        <v>0.62938650854961176</v>
      </c>
      <c r="J44" s="69">
        <f t="shared" si="2"/>
        <v>3</v>
      </c>
      <c r="K44" s="70">
        <f t="shared" si="3"/>
        <v>7.205784918321227E-4</v>
      </c>
      <c r="M44"/>
    </row>
    <row r="45" spans="4:13" x14ac:dyDescent="0.35">
      <c r="D45" s="49">
        <f>IF(F27&lt;&gt;"",NA(),(ROW()-ROW(D40))/100)</f>
        <v>0.05</v>
      </c>
      <c r="E45" s="50">
        <f>IF(F27&lt;&gt;"",NA(),IF(F25="u",F26+(1/2)*(LN((1-E25)/E25))^-1*(D27-E26)*LN(D45/(1-D45))+((1-2*E25)*(LN((1-E25)/E25)))^-1*(1-2*(F26-E26)/(D27-E26))*(D27-E26)*(D45-0.5)*LN(D45/(1-D45)),IF(F25="sl",D26+EXP(LN(F26-D26)+(1/2)*(LN((1-E25)/E25))^-1*LN((D27-D26)/(E26-D26))*LN(D45/(1-D45))+((1-2*E25)*(LN((1-E25)/E25)))^-1*LN(((D27-D26)*(E26-D26))/(F26-D26)^2)*(D45-0.5)*LN(D45/(1-D45))),IF(F25="su",E27-EXP(-(-LN(E27-F26)-(1/2)*(LN((1-E25)/E25))^-1*LN((E27-D27)/(E27-E26))*LN(D45/(1-D45))-((1-2*E25)*(LN((1-E25)/E25)))^-1*LN(((E27-D27)*(E27-E26))/(E27-F26)^2)*(D45-0.5)*LN(D45/(1-D45)))),IF(F25="b",(D26+E27*EXP(LN((F26-D26)/(E27-F26))+(1/2)*(LN((1-E25)/E25))^-1*LN(((D27-D26)/(E27-D27))/((E26-D26)/(E27-E26)))*LN(D45/(1-D45))+((1-2*E25)*(LN((1-E25)/E25)))^-1*LN((((D27-D26)/(E27-D27))*((E26-D26)/(E27-E26)))/((F26-D26)/(E27-F26))^2)*(D45-0.5)*LN(D45/(1-D45))))/(1+EXP(LN((F26-D26)/(E27-F26))+(1/2)*(LN((1-E25)/E25))^-1*LN(((D27-D26)/(E27-D27))/((E26-D26)/(E27-E26)))*LN(D45/(1-D45))+((1-2*E25)*(LN((1-E25)/E25)))^-1*LN((((D27-D26)/(E27-D27))*((E26-D26)/(E27-E26)))/((F26-D26)/(E27-F26))^2)*(D45-0.5)*LN(D45/(1-D45)))),NA())))))</f>
        <v>15.736466011666684</v>
      </c>
      <c r="F45" s="51">
        <f>IF(F27&lt;&gt;"",NA(),IF(F25="u",((1/2)*(LN((1-E25)/E25))^-1*(D27-E26)/(D45*(1-D45))+((1-2*E25)*(LN((1-E25)/E25)))^-1*(1-2*(F26-E26)/(D27-E26))*(D27-E26)*((D45-0.5)/(D45*(1-D45))+LN(D45/(1-D45))))^(-1),IF(F25="sl",((1/2)*(LN((1-E25)/E25))^-1*LN((D27-D26)/(E26-D26))/(D45*(1-D45))+((1-2*E25)*(LN((1-E25)/E25)))^-1*LN(((D27-D26)*(E26-D26))/(F26-D26)^2)*((D45-0.5)/(D45*(1-D45))+LN(D45/(1-D45))))^(-1)*EXP(-(LN(F26-D26)+(1/2)*(LN((1-E25)/E25))^-1*LN((D27-D26)/(E26-D26))*LN(D45/(1-D45))+((1-2*E25)*(LN((1-E25)/E25)))^-1*LN(((D27-D26)*(E26-D26))/(F26-D26)^2)*(D45-0.5)*LN(D45/(1-D45)))),IF(F25="su",(-(1/2)*(LN((1-E25)/E25))^-1*LN((E27-D27)/(E27-E26))/(D45*(1-D45))-((1-2*E25)*(LN((1-E25)/E25)))^-1*LN(((E27-D27)*(E27-E26))/(E27-F26)^2)*((D45-0.5)/(D45*(1-D45))+LN(D45/(1-D45))))^(-1)*EXP((-LN(E27-F26)-(1/2)*(LN((1-E25)/E25))^-1*LN((E27-D27)/(E27-E26))*LN(D45/(1-D45))-((1-2*E25)*(LN((1-E25)/E25)))^-1*LN(((E27-D27)*(E27-E26))/(E27-F26)^2)*(D45-0.5)*LN(D45/(1-D45)))),IF(F25="b",((1/2)*(LN((1-E25)/E25))^-1*LN(((D27-D26)/(E27-D27))/((E26-D26)/(E27-E26)))/(D45*(1-D45))+((1-2*E25)*(LN((1-E25)/E25)))^-1*LN((((D27-D26)/(E27-D27))*((E26-D26)/(E27-E26)))/((F26-D26)/(E27-F26))^2)*((D45-0.5)/(D45*(1-D45))+LN(D45/(1-D45))))^(-1)*(1+EXP(LN((F26-D26)/(E27-F26))+(1/2)*(LN((1-E25)/E25))^-1*LN(((D27-D26)/(E27-D27))/((E26-D26)/(E27-E26)))*LN(D45/(1-D45))+((1-2*E25)*(LN((1-E25)/E25)))^-1*LN((((D27-D26)/(E27-D27))*((E26-D26)/(E27-E26)))/((F26-D26)/(E27-F26))^2)*(D45-0.5)*LN(D45/(1-D45))))^2/((E27-D26)*EXP(LN((F26-D26)/(E27-F26))+(1/2)*(LN((1-E25)/E25))^-1*LN(((D27-D26)/(E27-D27))/((E26-D26)/(E27-E26)))*LN(D45/(1-D45))+((1-2*E25)*(LN((1-E25)/E25)))^-1*LN((((D27-D26)/(E27-D27))*((E26-D26)/(E27-E26)))/((F26-D26)/(E27-F26))^2)*(D45-0.5)*LN(D45/(1-D45)))),NA())))))</f>
        <v>8.2656467738747852E-3</v>
      </c>
      <c r="H45" s="71">
        <v>9</v>
      </c>
      <c r="I45" s="68">
        <f t="shared" si="1"/>
        <v>1.8994469384926971</v>
      </c>
      <c r="J45" s="69">
        <f t="shared" si="2"/>
        <v>3</v>
      </c>
      <c r="K45" s="70">
        <f t="shared" si="3"/>
        <v>8.6607445067733311E-4</v>
      </c>
      <c r="M45"/>
    </row>
    <row r="46" spans="4:13" x14ac:dyDescent="0.35">
      <c r="D46" s="49">
        <f>IF(F27&lt;&gt;"",NA(),(ROW()-ROW(D40))/100)</f>
        <v>0.06</v>
      </c>
      <c r="E46" s="50">
        <f>IF(F27&lt;&gt;"",NA(),IF(F25="u",F26+(1/2)*(LN((1-E25)/E25))^-1*(D27-E26)*LN(D46/(1-D46))+((1-2*E25)*(LN((1-E25)/E25)))^-1*(1-2*(F26-E26)/(D27-E26))*(D27-E26)*(D46-0.5)*LN(D46/(1-D46)),IF(F25="sl",D26+EXP(LN(F26-D26)+(1/2)*(LN((1-E25)/E25))^-1*LN((D27-D26)/(E26-D26))*LN(D46/(1-D46))+((1-2*E25)*(LN((1-E25)/E25)))^-1*LN(((D27-D26)*(E26-D26))/(F26-D26)^2)*(D46-0.5)*LN(D46/(1-D46))),IF(F25="su",E27-EXP(-(-LN(E27-F26)-(1/2)*(LN((1-E25)/E25))^-1*LN((E27-D27)/(E27-E26))*LN(D46/(1-D46))-((1-2*E25)*(LN((1-E25)/E25)))^-1*LN(((E27-D27)*(E27-E26))/(E27-F26)^2)*(D46-0.5)*LN(D46/(1-D46)))),IF(F25="b",(D26+E27*EXP(LN((F26-D26)/(E27-F26))+(1/2)*(LN((1-E25)/E25))^-1*LN(((D27-D26)/(E27-D27))/((E26-D26)/(E27-E26)))*LN(D46/(1-D46))+((1-2*E25)*(LN((1-E25)/E25)))^-1*LN((((D27-D26)/(E27-D27))*((E26-D26)/(E27-E26)))/((F26-D26)/(E27-F26))^2)*(D46-0.5)*LN(D46/(1-D46))))/(1+EXP(LN((F26-D26)/(E27-F26))+(1/2)*(LN((1-E25)/E25))^-1*LN(((D27-D26)/(E27-D27))/((E26-D26)/(E27-E26)))*LN(D46/(1-D46))+((1-2*E25)*(LN((1-E25)/E25)))^-1*LN((((D27-D26)/(E27-D27))*((E26-D26)/(E27-E26)))/((F26-D26)/(E27-F26))^2)*(D46-0.5)*LN(D46/(1-D46)))),NA())))))</f>
        <v>16.841973528496915</v>
      </c>
      <c r="F46" s="51">
        <f>IF(F27&lt;&gt;"",NA(),IF(F25="u",((1/2)*(LN((1-E25)/E25))^-1*(D27-E26)/(D46*(1-D46))+((1-2*E25)*(LN((1-E25)/E25)))^-1*(1-2*(F26-E26)/(D27-E26))*(D27-E26)*((D46-0.5)/(D46*(1-D46))+LN(D46/(1-D46))))^(-1),IF(F25="sl",((1/2)*(LN((1-E25)/E25))^-1*LN((D27-D26)/(E26-D26))/(D46*(1-D46))+((1-2*E25)*(LN((1-E25)/E25)))^-1*LN(((D27-D26)*(E26-D26))/(F26-D26)^2)*((D46-0.5)/(D46*(1-D46))+LN(D46/(1-D46))))^(-1)*EXP(-(LN(F26-D26)+(1/2)*(LN((1-E25)/E25))^-1*LN((D27-D26)/(E26-D26))*LN(D46/(1-D46))+((1-2*E25)*(LN((1-E25)/E25)))^-1*LN(((D27-D26)*(E26-D26))/(F26-D26)^2)*(D46-0.5)*LN(D46/(1-D46)))),IF(F25="su",(-(1/2)*(LN((1-E25)/E25))^-1*LN((E27-D27)/(E27-E26))/(D46*(1-D46))-((1-2*E25)*(LN((1-E25)/E25)))^-1*LN(((E27-D27)*(E27-E26))/(E27-F26)^2)*((D46-0.5)/(D46*(1-D46))+LN(D46/(1-D46))))^(-1)*EXP((-LN(E27-F26)-(1/2)*(LN((1-E25)/E25))^-1*LN((E27-D27)/(E27-E26))*LN(D46/(1-D46))-((1-2*E25)*(LN((1-E25)/E25)))^-1*LN(((E27-D27)*(E27-E26))/(E27-F26)^2)*(D46-0.5)*LN(D46/(1-D46)))),IF(F25="b",((1/2)*(LN((1-E25)/E25))^-1*LN(((D27-D26)/(E27-D27))/((E26-D26)/(E27-E26)))/(D46*(1-D46))+((1-2*E25)*(LN((1-E25)/E25)))^-1*LN((((D27-D26)/(E27-D27))*((E26-D26)/(E27-E26)))/((F26-D26)/(E27-F26))^2)*((D46-0.5)/(D46*(1-D46))+LN(D46/(1-D46))))^(-1)*(1+EXP(LN((F26-D26)/(E27-F26))+(1/2)*(LN((1-E25)/E25))^-1*LN(((D27-D26)/(E27-D27))/((E26-D26)/(E27-E26)))*LN(D46/(1-D46))+((1-2*E25)*(LN((1-E25)/E25)))^-1*LN((((D27-D26)/(E27-D27))*((E26-D26)/(E27-E26)))/((F26-D26)/(E27-F26))^2)*(D46-0.5)*LN(D46/(1-D46))))^2/((E27-D26)*EXP(LN((F26-D26)/(E27-F26))+(1/2)*(LN((1-E25)/E25))^-1*LN(((D27-D26)/(E27-D27))/((E26-D26)/(E27-E26)))*LN(D46/(1-D46))+((1-2*E25)*(LN((1-E25)/E25)))^-1*LN((((D27-D26)/(E27-D27))*((E26-D26)/(E27-E26)))/((F26-D26)/(E27-F26))^2)*(D46-0.5)*LN(D46/(1-D46)))),NA())))))</f>
        <v>9.8663863465710249E-3</v>
      </c>
      <c r="H46" s="71">
        <v>10</v>
      </c>
      <c r="I46" s="68">
        <f t="shared" si="1"/>
        <v>3.1695073684357826</v>
      </c>
      <c r="J46" s="69">
        <f t="shared" si="2"/>
        <v>4</v>
      </c>
      <c r="K46" s="70">
        <f t="shared" si="3"/>
        <v>1.0424406902710291E-3</v>
      </c>
      <c r="M46"/>
    </row>
    <row r="47" spans="4:13" x14ac:dyDescent="0.35">
      <c r="D47" s="49">
        <f>IF(F27&lt;&gt;"",NA(),(ROW()-ROW(D40))/100)</f>
        <v>7.0000000000000007E-2</v>
      </c>
      <c r="E47" s="50">
        <f>IF(F27&lt;&gt;"",NA(),IF(F25="u",F26+(1/2)*(LN((1-E25)/E25))^-1*(D27-E26)*LN(D47/(1-D47))+((1-2*E25)*(LN((1-E25)/E25)))^-1*(1-2*(F26-E26)/(D27-E26))*(D27-E26)*(D47-0.5)*LN(D47/(1-D47)),IF(F25="sl",D26+EXP(LN(F26-D26)+(1/2)*(LN((1-E25)/E25))^-1*LN((D27-D26)/(E26-D26))*LN(D47/(1-D47))+((1-2*E25)*(LN((1-E25)/E25)))^-1*LN(((D27-D26)*(E26-D26))/(F26-D26)^2)*(D47-0.5)*LN(D47/(1-D47))),IF(F25="su",E27-EXP(-(-LN(E27-F26)-(1/2)*(LN((1-E25)/E25))^-1*LN((E27-D27)/(E27-E26))*LN(D47/(1-D47))-((1-2*E25)*(LN((1-E25)/E25)))^-1*LN(((E27-D27)*(E27-E26))/(E27-F26)^2)*(D47-0.5)*LN(D47/(1-D47)))),IF(F25="b",(D26+E27*EXP(LN((F26-D26)/(E27-F26))+(1/2)*(LN((1-E25)/E25))^-1*LN(((D27-D26)/(E27-D27))/((E26-D26)/(E27-E26)))*LN(D47/(1-D47))+((1-2*E25)*(LN((1-E25)/E25)))^-1*LN((((D27-D26)/(E27-D27))*((E26-D26)/(E27-E26)))/((F26-D26)/(E27-F26))^2)*(D47-0.5)*LN(D47/(1-D47))))/(1+EXP(LN((F26-D26)/(E27-F26))+(1/2)*(LN((1-E25)/E25))^-1*LN(((D27-D26)/(E27-D27))/((E26-D26)/(E27-E26)))*LN(D47/(1-D47))+((1-2*E25)*(LN((1-E25)/E25)))^-1*LN((((D27-D26)/(E27-D27))*((E26-D26)/(E27-E26)))/((F26-D26)/(E27-F26))^2)*(D47-0.5)*LN(D47/(1-D47)))),NA())))))</f>
        <v>17.782674084550983</v>
      </c>
      <c r="F47" s="51">
        <f>IF(F27&lt;&gt;"",NA(),IF(F25="u",((1/2)*(LN((1-E25)/E25))^-1*(D27-E26)/(D47*(1-D47))+((1-2*E25)*(LN((1-E25)/E25)))^-1*(1-2*(F26-E26)/(D27-E26))*(D27-E26)*((D47-0.5)/(D47*(1-D47))+LN(D47/(1-D47))))^(-1),IF(F25="sl",((1/2)*(LN((1-E25)/E25))^-1*LN((D27-D26)/(E26-D26))/(D47*(1-D47))+((1-2*E25)*(LN((1-E25)/E25)))^-1*LN(((D27-D26)*(E26-D26))/(F26-D26)^2)*((D47-0.5)/(D47*(1-D47))+LN(D47/(1-D47))))^(-1)*EXP(-(LN(F26-D26)+(1/2)*(LN((1-E25)/E25))^-1*LN((D27-D26)/(E26-D26))*LN(D47/(1-D47))+((1-2*E25)*(LN((1-E25)/E25)))^-1*LN(((D27-D26)*(E26-D26))/(F26-D26)^2)*(D47-0.5)*LN(D47/(1-D47)))),IF(F25="su",(-(1/2)*(LN((1-E25)/E25))^-1*LN((E27-D27)/(E27-E26))/(D47*(1-D47))-((1-2*E25)*(LN((1-E25)/E25)))^-1*LN(((E27-D27)*(E27-E26))/(E27-F26)^2)*((D47-0.5)/(D47*(1-D47))+LN(D47/(1-D47))))^(-1)*EXP((-LN(E27-F26)-(1/2)*(LN((1-E25)/E25))^-1*LN((E27-D27)/(E27-E26))*LN(D47/(1-D47))-((1-2*E25)*(LN((1-E25)/E25)))^-1*LN(((E27-D27)*(E27-E26))/(E27-F26)^2)*(D47-0.5)*LN(D47/(1-D47)))),IF(F25="b",((1/2)*(LN((1-E25)/E25))^-1*LN(((D27-D26)/(E27-D27))/((E26-D26)/(E27-E26)))/(D47*(1-D47))+((1-2*E25)*(LN((1-E25)/E25)))^-1*LN((((D27-D26)/(E27-D27))*((E26-D26)/(E27-E26)))/((F26-D26)/(E27-F26))^2)*((D47-0.5)/(D47*(1-D47))+LN(D47/(1-D47))))^(-1)*(1+EXP(LN((F26-D26)/(E27-F26))+(1/2)*(LN((1-E25)/E25))^-1*LN(((D27-D26)/(E27-D27))/((E26-D26)/(E27-E26)))*LN(D47/(1-D47))+((1-2*E25)*(LN((1-E25)/E25)))^-1*LN((((D27-D26)/(E27-D27))*((E26-D26)/(E27-E26)))/((F26-D26)/(E27-F26))^2)*(D47-0.5)*LN(D47/(1-D47))))^2/((E27-D26)*EXP(LN((F26-D26)/(E27-F26))+(1/2)*(LN((1-E25)/E25))^-1*LN(((D27-D26)/(E27-D27))/((E26-D26)/(E27-E26)))*LN(D47/(1-D47))+((1-2*E25)*(LN((1-E25)/E25)))^-1*LN((((D27-D26)/(E27-D27))*((E26-D26)/(E27-E26)))/((F26-D26)/(E27-F26))^2)*(D47-0.5)*LN(D47/(1-D47)))),NA())))))</f>
        <v>1.1424791400623241E-2</v>
      </c>
      <c r="H47" s="71">
        <v>11</v>
      </c>
      <c r="I47" s="68">
        <f t="shared" si="1"/>
        <v>4.4395677983788682</v>
      </c>
      <c r="J47" s="69">
        <f t="shared" si="2"/>
        <v>4</v>
      </c>
      <c r="K47" s="70">
        <f t="shared" si="3"/>
        <v>1.3098365630284461E-3</v>
      </c>
      <c r="M47"/>
    </row>
    <row r="48" spans="4:13" x14ac:dyDescent="0.35">
      <c r="D48" s="49">
        <f>IF(F27&lt;&gt;"",NA(),(ROW()-ROW(D40))/100)</f>
        <v>0.08</v>
      </c>
      <c r="E48" s="50">
        <f>IF(F27&lt;&gt;"",NA(),IF(F25="u",F26+(1/2)*(LN((1-E25)/E25))^-1*(D27-E26)*LN(D48/(1-D48))+((1-2*E25)*(LN((1-E25)/E25)))^-1*(1-2*(F26-E26)/(D27-E26))*(D27-E26)*(D48-0.5)*LN(D48/(1-D48)),IF(F25="sl",D26+EXP(LN(F26-D26)+(1/2)*(LN((1-E25)/E25))^-1*LN((D27-D26)/(E26-D26))*LN(D48/(1-D48))+((1-2*E25)*(LN((1-E25)/E25)))^-1*LN(((D27-D26)*(E26-D26))/(F26-D26)^2)*(D48-0.5)*LN(D48/(1-D48))),IF(F25="su",E27-EXP(-(-LN(E27-F26)-(1/2)*(LN((1-E25)/E25))^-1*LN((E27-D27)/(E27-E26))*LN(D48/(1-D48))-((1-2*E25)*(LN((1-E25)/E25)))^-1*LN(((E27-D27)*(E27-E26))/(E27-F26)^2)*(D48-0.5)*LN(D48/(1-D48)))),IF(F25="b",(D26+E27*EXP(LN((F26-D26)/(E27-F26))+(1/2)*(LN((1-E25)/E25))^-1*LN(((D27-D26)/(E27-D27))/((E26-D26)/(E27-E26)))*LN(D48/(1-D48))+((1-2*E25)*(LN((1-E25)/E25)))^-1*LN((((D27-D26)/(E27-D27))*((E26-D26)/(E27-E26)))/((F26-D26)/(E27-F26))^2)*(D48-0.5)*LN(D48/(1-D48))))/(1+EXP(LN((F26-D26)/(E27-F26))+(1/2)*(LN((1-E25)/E25))^-1*LN(((D27-D26)/(E27-D27))/((E26-D26)/(E27-E26)))*LN(D48/(1-D48))+((1-2*E25)*(LN((1-E25)/E25)))^-1*LN((((D27-D26)/(E27-D27))*((E26-D26)/(E27-E26)))/((F26-D26)/(E27-F26))^2)*(D48-0.5)*LN(D48/(1-D48)))),NA())))))</f>
        <v>18.604489434862501</v>
      </c>
      <c r="F48" s="51">
        <f>IF(F27&lt;&gt;"",NA(),IF(F25="u",((1/2)*(LN((1-E25)/E25))^-1*(D27-E26)/(D48*(1-D48))+((1-2*E25)*(LN((1-E25)/E25)))^-1*(1-2*(F26-E26)/(D27-E26))*(D27-E26)*((D48-0.5)/(D48*(1-D48))+LN(D48/(1-D48))))^(-1),IF(F25="sl",((1/2)*(LN((1-E25)/E25))^-1*LN((D27-D26)/(E26-D26))/(D48*(1-D48))+((1-2*E25)*(LN((1-E25)/E25)))^-1*LN(((D27-D26)*(E26-D26))/(F26-D26)^2)*((D48-0.5)/(D48*(1-D48))+LN(D48/(1-D48))))^(-1)*EXP(-(LN(F26-D26)+(1/2)*(LN((1-E25)/E25))^-1*LN((D27-D26)/(E26-D26))*LN(D48/(1-D48))+((1-2*E25)*(LN((1-E25)/E25)))^-1*LN(((D27-D26)*(E26-D26))/(F26-D26)^2)*(D48-0.5)*LN(D48/(1-D48)))),IF(F25="su",(-(1/2)*(LN((1-E25)/E25))^-1*LN((E27-D27)/(E27-E26))/(D48*(1-D48))-((1-2*E25)*(LN((1-E25)/E25)))^-1*LN(((E27-D27)*(E27-E26))/(E27-F26)^2)*((D48-0.5)/(D48*(1-D48))+LN(D48/(1-D48))))^(-1)*EXP((-LN(E27-F26)-(1/2)*(LN((1-E25)/E25))^-1*LN((E27-D27)/(E27-E26))*LN(D48/(1-D48))-((1-2*E25)*(LN((1-E25)/E25)))^-1*LN(((E27-D27)*(E27-E26))/(E27-F26)^2)*(D48-0.5)*LN(D48/(1-D48)))),IF(F25="b",((1/2)*(LN((1-E25)/E25))^-1*LN(((D27-D26)/(E27-D27))/((E26-D26)/(E27-E26)))/(D48*(1-D48))+((1-2*E25)*(LN((1-E25)/E25)))^-1*LN((((D27-D26)/(E27-D27))*((E26-D26)/(E27-E26)))/((F26-D26)/(E27-F26))^2)*((D48-0.5)/(D48*(1-D48))+LN(D48/(1-D48))))^(-1)*(1+EXP(LN((F26-D26)/(E27-F26))+(1/2)*(LN((1-E25)/E25))^-1*LN(((D27-D26)/(E27-D27))/((E26-D26)/(E27-E26)))*LN(D48/(1-D48))+((1-2*E25)*(LN((1-E25)/E25)))^-1*LN((((D27-D26)/(E27-D27))*((E26-D26)/(E27-E26)))/((F26-D26)/(E27-F26))^2)*(D48-0.5)*LN(D48/(1-D48))))^2/((E27-D26)*EXP(LN((F26-D26)/(E27-F26))+(1/2)*(LN((1-E25)/E25))^-1*LN(((D27-D26)/(E27-D27))/((E26-D26)/(E27-E26)))*LN(D48/(1-D48))+((1-2*E25)*(LN((1-E25)/E25)))^-1*LN((((D27-D26)/(E27-D27))*((E26-D26)/(E27-E26)))/((F26-D26)/(E27-F26))^2)*(D48-0.5)*LN(D48/(1-D48)))),NA())))))</f>
        <v>1.2934111982597222E-2</v>
      </c>
      <c r="H48" s="71">
        <v>12</v>
      </c>
      <c r="I48" s="68">
        <f t="shared" si="1"/>
        <v>5.7096282283219537</v>
      </c>
      <c r="J48" s="69">
        <f t="shared" si="2"/>
        <v>4</v>
      </c>
      <c r="K48" s="70">
        <f t="shared" si="3"/>
        <v>1.5772324357858632E-3</v>
      </c>
      <c r="M48"/>
    </row>
    <row r="49" spans="4:13" x14ac:dyDescent="0.35">
      <c r="D49" s="49">
        <f>IF(F27&lt;&gt;"",NA(),(ROW()-ROW(D40))/100)</f>
        <v>0.09</v>
      </c>
      <c r="E49" s="50">
        <f>IF(F27&lt;&gt;"",NA(),IF(F25="u",F26+(1/2)*(LN((1-E25)/E25))^-1*(D27-E26)*LN(D49/(1-D49))+((1-2*E25)*(LN((1-E25)/E25)))^-1*(1-2*(F26-E26)/(D27-E26))*(D27-E26)*(D49-0.5)*LN(D49/(1-D49)),IF(F25="sl",D26+EXP(LN(F26-D26)+(1/2)*(LN((1-E25)/E25))^-1*LN((D27-D26)/(E26-D26))*LN(D49/(1-D49))+((1-2*E25)*(LN((1-E25)/E25)))^-1*LN(((D27-D26)*(E26-D26))/(F26-D26)^2)*(D49-0.5)*LN(D49/(1-D49))),IF(F25="su",E27-EXP(-(-LN(E27-F26)-(1/2)*(LN((1-E25)/E25))^-1*LN((E27-D27)/(E27-E26))*LN(D49/(1-D49))-((1-2*E25)*(LN((1-E25)/E25)))^-1*LN(((E27-D27)*(E27-E26))/(E27-F26)^2)*(D49-0.5)*LN(D49/(1-D49)))),IF(F25="b",(D26+E27*EXP(LN((F26-D26)/(E27-F26))+(1/2)*(LN((1-E25)/E25))^-1*LN(((D27-D26)/(E27-D27))/((E26-D26)/(E27-E26)))*LN(D49/(1-D49))+((1-2*E25)*(LN((1-E25)/E25)))^-1*LN((((D27-D26)/(E27-D27))*((E26-D26)/(E27-E26)))/((F26-D26)/(E27-F26))^2)*(D49-0.5)*LN(D49/(1-D49))))/(1+EXP(LN((F26-D26)/(E27-F26))+(1/2)*(LN((1-E25)/E25))^-1*LN(((D27-D26)/(E27-D27))/((E26-D26)/(E27-E26)))*LN(D49/(1-D49))+((1-2*E25)*(LN((1-E25)/E25)))^-1*LN((((D27-D26)/(E27-D27))*((E26-D26)/(E27-E26)))/((F26-D26)/(E27-F26))^2)*(D49-0.5)*LN(D49/(1-D49)))),NA())))))</f>
        <v>19.336913064533029</v>
      </c>
      <c r="F49" s="51">
        <f>IF(F27&lt;&gt;"",NA(),IF(F25="u",((1/2)*(LN((1-E25)/E25))^-1*(D27-E26)/(D49*(1-D49))+((1-2*E25)*(LN((1-E25)/E25)))^-1*(1-2*(F26-E26)/(D27-E26))*(D27-E26)*((D49-0.5)/(D49*(1-D49))+LN(D49/(1-D49))))^(-1),IF(F25="sl",((1/2)*(LN((1-E25)/E25))^-1*LN((D27-D26)/(E26-D26))/(D49*(1-D49))+((1-2*E25)*(LN((1-E25)/E25)))^-1*LN(((D27-D26)*(E26-D26))/(F26-D26)^2)*((D49-0.5)/(D49*(1-D49))+LN(D49/(1-D49))))^(-1)*EXP(-(LN(F26-D26)+(1/2)*(LN((1-E25)/E25))^-1*LN((D27-D26)/(E26-D26))*LN(D49/(1-D49))+((1-2*E25)*(LN((1-E25)/E25)))^-1*LN(((D27-D26)*(E26-D26))/(F26-D26)^2)*(D49-0.5)*LN(D49/(1-D49)))),IF(F25="su",(-(1/2)*(LN((1-E25)/E25))^-1*LN((E27-D27)/(E27-E26))/(D49*(1-D49))-((1-2*E25)*(LN((1-E25)/E25)))^-1*LN(((E27-D27)*(E27-E26))/(E27-F26)^2)*((D49-0.5)/(D49*(1-D49))+LN(D49/(1-D49))))^(-1)*EXP((-LN(E27-F26)-(1/2)*(LN((1-E25)/E25))^-1*LN((E27-D27)/(E27-E26))*LN(D49/(1-D49))-((1-2*E25)*(LN((1-E25)/E25)))^-1*LN(((E27-D27)*(E27-E26))/(E27-F26)^2)*(D49-0.5)*LN(D49/(1-D49)))),IF(F25="b",((1/2)*(LN((1-E25)/E25))^-1*LN(((D27-D26)/(E27-D27))/((E26-D26)/(E27-E26)))/(D49*(1-D49))+((1-2*E25)*(LN((1-E25)/E25)))^-1*LN((((D27-D26)/(E27-D27))*((E26-D26)/(E27-E26)))/((F26-D26)/(E27-F26))^2)*((D49-0.5)/(D49*(1-D49))+LN(D49/(1-D49))))^(-1)*(1+EXP(LN((F26-D26)/(E27-F26))+(1/2)*(LN((1-E25)/E25))^-1*LN(((D27-D26)/(E27-D27))/((E26-D26)/(E27-E26)))*LN(D49/(1-D49))+((1-2*E25)*(LN((1-E25)/E25)))^-1*LN((((D27-D26)/(E27-D27))*((E26-D26)/(E27-E26)))/((F26-D26)/(E27-F26))^2)*(D49-0.5)*LN(D49/(1-D49))))^2/((E27-D26)*EXP(LN((F26-D26)/(E27-F26))+(1/2)*(LN((1-E25)/E25))^-1*LN(((D27-D26)/(E27-D27))/((E26-D26)/(E27-E26)))*LN(D49/(1-D49))+((1-2*E25)*(LN((1-E25)/E25)))^-1*LN((((D27-D26)/(E27-D27))*((E26-D26)/(E27-E26)))/((F26-D26)/(E27-F26))^2)*(D49-0.5)*LN(D49/(1-D49)))),NA())))))</f>
        <v>1.4388829654515895E-2</v>
      </c>
      <c r="H49" s="71">
        <v>13</v>
      </c>
      <c r="I49" s="68">
        <f t="shared" si="1"/>
        <v>6.9796886582650393</v>
      </c>
      <c r="J49" s="69">
        <f t="shared" si="2"/>
        <v>5</v>
      </c>
      <c r="K49" s="70">
        <f t="shared" si="3"/>
        <v>2.0283662791243718E-3</v>
      </c>
      <c r="M49"/>
    </row>
    <row r="50" spans="4:13" x14ac:dyDescent="0.35">
      <c r="D50" s="49">
        <f>IF(F27&lt;&gt;"",NA(),(ROW()-ROW(D40))/100)</f>
        <v>0.1</v>
      </c>
      <c r="E50" s="50">
        <f>IF(F27&lt;&gt;"",NA(),IF(F25="u",F26+(1/2)*(LN((1-E25)/E25))^-1*(D27-E26)*LN(D50/(1-D50))+((1-2*E25)*(LN((1-E25)/E25)))^-1*(1-2*(F26-E26)/(D27-E26))*(D27-E26)*(D50-0.5)*LN(D50/(1-D50)),IF(F25="sl",D26+EXP(LN(F26-D26)+(1/2)*(LN((1-E25)/E25))^-1*LN((D27-D26)/(E26-D26))*LN(D50/(1-D50))+((1-2*E25)*(LN((1-E25)/E25)))^-1*LN(((D27-D26)*(E26-D26))/(F26-D26)^2)*(D50-0.5)*LN(D50/(1-D50))),IF(F25="su",E27-EXP(-(-LN(E27-F26)-(1/2)*(LN((1-E25)/E25))^-1*LN((E27-D27)/(E27-E26))*LN(D50/(1-D50))-((1-2*E25)*(LN((1-E25)/E25)))^-1*LN(((E27-D27)*(E27-E26))/(E27-F26)^2)*(D50-0.5)*LN(D50/(1-D50)))),IF(F25="b",(D26+E27*EXP(LN((F26-D26)/(E27-F26))+(1/2)*(LN((1-E25)/E25))^-1*LN(((D27-D26)/(E27-D27))/((E26-D26)/(E27-E26)))*LN(D50/(1-D50))+((1-2*E25)*(LN((1-E25)/E25)))^-1*LN((((D27-D26)/(E27-D27))*((E26-D26)/(E27-E26)))/((F26-D26)/(E27-F26))^2)*(D50-0.5)*LN(D50/(1-D50))))/(1+EXP(LN((F26-D26)/(E27-F26))+(1/2)*(LN((1-E25)/E25))^-1*LN(((D27-D26)/(E27-D27))/((E26-D26)/(E27-E26)))*LN(D50/(1-D50))+((1-2*E25)*(LN((1-E25)/E25)))^-1*LN((((D27-D26)/(E27-D27))*((E26-D26)/(E27-E26)))/((F26-D26)/(E27-F26))^2)*(D50-0.5)*LN(D50/(1-D50)))),NA())))))</f>
        <v>20.000000000000004</v>
      </c>
      <c r="F50" s="51">
        <f>IF(F27&lt;&gt;"",NA(),IF(F25="u",((1/2)*(LN((1-E25)/E25))^-1*(D27-E26)/(D50*(1-D50))+((1-2*E25)*(LN((1-E25)/E25)))^-1*(1-2*(F26-E26)/(D27-E26))*(D27-E26)*((D50-0.5)/(D50*(1-D50))+LN(D50/(1-D50))))^(-1),IF(F25="sl",((1/2)*(LN((1-E25)/E25))^-1*LN((D27-D26)/(E26-D26))/(D50*(1-D50))+((1-2*E25)*(LN((1-E25)/E25)))^-1*LN(((D27-D26)*(E26-D26))/(F26-D26)^2)*((D50-0.5)/(D50*(1-D50))+LN(D50/(1-D50))))^(-1)*EXP(-(LN(F26-D26)+(1/2)*(LN((1-E25)/E25))^-1*LN((D27-D26)/(E26-D26))*LN(D50/(1-D50))+((1-2*E25)*(LN((1-E25)/E25)))^-1*LN(((D27-D26)*(E26-D26))/(F26-D26)^2)*(D50-0.5)*LN(D50/(1-D50)))),IF(F25="su",(-(1/2)*(LN((1-E25)/E25))^-1*LN((E27-D27)/(E27-E26))/(D50*(1-D50))-((1-2*E25)*(LN((1-E25)/E25)))^-1*LN(((E27-D27)*(E27-E26))/(E27-F26)^2)*((D50-0.5)/(D50*(1-D50))+LN(D50/(1-D50))))^(-1)*EXP((-LN(E27-F26)-(1/2)*(LN((1-E25)/E25))^-1*LN((E27-D27)/(E27-E26))*LN(D50/(1-D50))-((1-2*E25)*(LN((1-E25)/E25)))^-1*LN(((E27-D27)*(E27-E26))/(E27-F26)^2)*(D50-0.5)*LN(D50/(1-D50)))),IF(F25="b",((1/2)*(LN((1-E25)/E25))^-1*LN(((D27-D26)/(E27-D27))/((E26-D26)/(E27-E26)))/(D50*(1-D50))+((1-2*E25)*(LN((1-E25)/E25)))^-1*LN((((D27-D26)/(E27-D27))*((E26-D26)/(E27-E26)))/((F26-D26)/(E27-F26))^2)*((D50-0.5)/(D50*(1-D50))+LN(D50/(1-D50))))^(-1)*(1+EXP(LN((F26-D26)/(E27-F26))+(1/2)*(LN((1-E25)/E25))^-1*LN(((D27-D26)/(E27-D27))/((E26-D26)/(E27-E26)))*LN(D50/(1-D50))+((1-2*E25)*(LN((1-E25)/E25)))^-1*LN((((D27-D26)/(E27-D27))*((E26-D26)/(E27-E26)))/((F26-D26)/(E27-F26))^2)*(D50-0.5)*LN(D50/(1-D50))))^2/((E27-D26)*EXP(LN((F26-D26)/(E27-F26))+(1/2)*(LN((1-E25)/E25))^-1*LN(((D27-D26)/(E27-D27))/((E26-D26)/(E27-E26)))*LN(D50/(1-D50))+((1-2*E25)*(LN((1-E25)/E25)))^-1*LN((((D27-D26)/(E27-D27))*((E26-D26)/(E27-E26)))/((F26-D26)/(E27-F26))^2)*(D50-0.5)*LN(D50/(1-D50)))),NA())))))</f>
        <v>1.5784505165885355E-2</v>
      </c>
      <c r="H50" s="71">
        <v>14</v>
      </c>
      <c r="I50" s="68">
        <f t="shared" si="1"/>
        <v>8.2497490882081248</v>
      </c>
      <c r="J50" s="69">
        <f t="shared" si="2"/>
        <v>5</v>
      </c>
      <c r="K50" s="70">
        <f t="shared" si="3"/>
        <v>2.5298506272294313E-3</v>
      </c>
      <c r="M50"/>
    </row>
    <row r="51" spans="4:13" x14ac:dyDescent="0.35">
      <c r="D51" s="49">
        <f>IF(F27&lt;&gt;"",NA(),(ROW()-ROW(D40))/100)</f>
        <v>0.11</v>
      </c>
      <c r="E51" s="50">
        <f>IF(F27&lt;&gt;"",NA(),IF(F25="u",F26+(1/2)*(LN((1-E25)/E25))^-1*(D27-E26)*LN(D51/(1-D51))+((1-2*E25)*(LN((1-E25)/E25)))^-1*(1-2*(F26-E26)/(D27-E26))*(D27-E26)*(D51-0.5)*LN(D51/(1-D51)),IF(F25="sl",D26+EXP(LN(F26-D26)+(1/2)*(LN((1-E25)/E25))^-1*LN((D27-D26)/(E26-D26))*LN(D51/(1-D51))+((1-2*E25)*(LN((1-E25)/E25)))^-1*LN(((D27-D26)*(E26-D26))/(F26-D26)^2)*(D51-0.5)*LN(D51/(1-D51))),IF(F25="su",E27-EXP(-(-LN(E27-F26)-(1/2)*(LN((1-E25)/E25))^-1*LN((E27-D27)/(E27-E26))*LN(D51/(1-D51))-((1-2*E25)*(LN((1-E25)/E25)))^-1*LN(((E27-D27)*(E27-E26))/(E27-F26)^2)*(D51-0.5)*LN(D51/(1-D51)))),IF(F25="b",(D26+E27*EXP(LN((F26-D26)/(E27-F26))+(1/2)*(LN((1-E25)/E25))^-1*LN(((D27-D26)/(E27-D27))/((E26-D26)/(E27-E26)))*LN(D51/(1-D51))+((1-2*E25)*(LN((1-E25)/E25)))^-1*LN((((D27-D26)/(E27-D27))*((E26-D26)/(E27-E26)))/((F26-D26)/(E27-F26))^2)*(D51-0.5)*LN(D51/(1-D51))))/(1+EXP(LN((F26-D26)/(E27-F26))+(1/2)*(LN((1-E25)/E25))^-1*LN(((D27-D26)/(E27-D27))/((E26-D26)/(E27-E26)))*LN(D51/(1-D51))+((1-2*E25)*(LN((1-E25)/E25)))^-1*LN((((D27-D26)/(E27-D27))*((E26-D26)/(E27-E26)))/((F26-D26)/(E27-F26))^2)*(D51-0.5)*LN(D51/(1-D51)))),NA())))))</f>
        <v>20.607998646428584</v>
      </c>
      <c r="F51" s="51">
        <f>IF(F27&lt;&gt;"",NA(),IF(F25="u",((1/2)*(LN((1-E25)/E25))^-1*(D27-E26)/(D51*(1-D51))+((1-2*E25)*(LN((1-E25)/E25)))^-1*(1-2*(F26-E26)/(D27-E26))*(D27-E26)*((D51-0.5)/(D51*(1-D51))+LN(D51/(1-D51))))^(-1),IF(F25="sl",((1/2)*(LN((1-E25)/E25))^-1*LN((D27-D26)/(E26-D26))/(D51*(1-D51))+((1-2*E25)*(LN((1-E25)/E25)))^-1*LN(((D27-D26)*(E26-D26))/(F26-D26)^2)*((D51-0.5)/(D51*(1-D51))+LN(D51/(1-D51))))^(-1)*EXP(-(LN(F26-D26)+(1/2)*(LN((1-E25)/E25))^-1*LN((D27-D26)/(E26-D26))*LN(D51/(1-D51))+((1-2*E25)*(LN((1-E25)/E25)))^-1*LN(((D27-D26)*(E26-D26))/(F26-D26)^2)*(D51-0.5)*LN(D51/(1-D51)))),IF(F25="su",(-(1/2)*(LN((1-E25)/E25))^-1*LN((E27-D27)/(E27-E26))/(D51*(1-D51))-((1-2*E25)*(LN((1-E25)/E25)))^-1*LN(((E27-D27)*(E27-E26))/(E27-F26)^2)*((D51-0.5)/(D51*(1-D51))+LN(D51/(1-D51))))^(-1)*EXP((-LN(E27-F26)-(1/2)*(LN((1-E25)/E25))^-1*LN((E27-D27)/(E27-E26))*LN(D51/(1-D51))-((1-2*E25)*(LN((1-E25)/E25)))^-1*LN(((E27-D27)*(E27-E26))/(E27-F26)^2)*(D51-0.5)*LN(D51/(1-D51)))),IF(F25="b",((1/2)*(LN((1-E25)/E25))^-1*LN(((D27-D26)/(E27-D27))/((E26-D26)/(E27-E26)))/(D51*(1-D51))+((1-2*E25)*(LN((1-E25)/E25)))^-1*LN((((D27-D26)/(E27-D27))*((E26-D26)/(E27-E26)))/((F26-D26)/(E27-F26))^2)*((D51-0.5)/(D51*(1-D51))+LN(D51/(1-D51))))^(-1)*(1+EXP(LN((F26-D26)/(E27-F26))+(1/2)*(LN((1-E25)/E25))^-1*LN(((D27-D26)/(E27-D27))/((E26-D26)/(E27-E26)))*LN(D51/(1-D51))+((1-2*E25)*(LN((1-E25)/E25)))^-1*LN((((D27-D26)/(E27-D27))*((E26-D26)/(E27-E26)))/((F26-D26)/(E27-F26))^2)*(D51-0.5)*LN(D51/(1-D51))))^2/((E27-D26)*EXP(LN((F26-D26)/(E27-F26))+(1/2)*(LN((1-E25)/E25))^-1*LN(((D27-D26)/(E27-D27))/((E26-D26)/(E27-E26)))*LN(D51/(1-D51))+((1-2*E25)*(LN((1-E25)/E25)))^-1*LN((((D27-D26)/(E27-D27))*((E26-D26)/(E27-E26)))/((F26-D26)/(E27-F26))^2)*(D51-0.5)*LN(D51/(1-D51)))),NA())))))</f>
        <v>1.7117657776039557E-2</v>
      </c>
      <c r="H51" s="71">
        <v>15</v>
      </c>
      <c r="I51" s="68">
        <f t="shared" si="1"/>
        <v>9.5198095181512095</v>
      </c>
      <c r="J51" s="69">
        <f t="shared" si="2"/>
        <v>5</v>
      </c>
      <c r="K51" s="70">
        <f t="shared" si="3"/>
        <v>3.0313349753344904E-3</v>
      </c>
      <c r="M51"/>
    </row>
    <row r="52" spans="4:13" x14ac:dyDescent="0.35">
      <c r="D52" s="49">
        <f>IF(F27&lt;&gt;"",NA(),(ROW()-ROW(D40))/100)</f>
        <v>0.12</v>
      </c>
      <c r="E52" s="50">
        <f>IF(F27&lt;&gt;"",NA(),IF(F25="u",F26+(1/2)*(LN((1-E25)/E25))^-1*(D27-E26)*LN(D52/(1-D52))+((1-2*E25)*(LN((1-E25)/E25)))^-1*(1-2*(F26-E26)/(D27-E26))*(D27-E26)*(D52-0.5)*LN(D52/(1-D52)),IF(F25="sl",D26+EXP(LN(F26-D26)+(1/2)*(LN((1-E25)/E25))^-1*LN((D27-D26)/(E26-D26))*LN(D52/(1-D52))+((1-2*E25)*(LN((1-E25)/E25)))^-1*LN(((D27-D26)*(E26-D26))/(F26-D26)^2)*(D52-0.5)*LN(D52/(1-D52))),IF(F25="su",E27-EXP(-(-LN(E27-F26)-(1/2)*(LN((1-E25)/E25))^-1*LN((E27-D27)/(E27-E26))*LN(D52/(1-D52))-((1-2*E25)*(LN((1-E25)/E25)))^-1*LN(((E27-D27)*(E27-E26))/(E27-F26)^2)*(D52-0.5)*LN(D52/(1-D52)))),IF(F25="b",(D26+E27*EXP(LN((F26-D26)/(E27-F26))+(1/2)*(LN((1-E25)/E25))^-1*LN(((D27-D26)/(E27-D27))/((E26-D26)/(E27-E26)))*LN(D52/(1-D52))+((1-2*E25)*(LN((1-E25)/E25)))^-1*LN((((D27-D26)/(E27-D27))*((E26-D26)/(E27-E26)))/((F26-D26)/(E27-F26))^2)*(D52-0.5)*LN(D52/(1-D52))))/(1+EXP(LN((F26-D26)/(E27-F26))+(1/2)*(LN((1-E25)/E25))^-1*LN(((D27-D26)/(E27-D27))/((E26-D26)/(E27-E26)))*LN(D52/(1-D52))+((1-2*E25)*(LN((1-E25)/E25)))^-1*LN((((D27-D26)/(E27-D27))*((E26-D26)/(E27-E26)))/((F26-D26)/(E27-F26))^2)*(D52-0.5)*LN(D52/(1-D52)))),NA())))))</f>
        <v>21.171390796856084</v>
      </c>
      <c r="F52" s="51">
        <f>IF(F27&lt;&gt;"",NA(),IF(F25="u",((1/2)*(LN((1-E25)/E25))^-1*(D27-E26)/(D52*(1-D52))+((1-2*E25)*(LN((1-E25)/E25)))^-1*(1-2*(F26-E26)/(D27-E26))*(D27-E26)*((D52-0.5)/(D52*(1-D52))+LN(D52/(1-D52))))^(-1),IF(F25="sl",((1/2)*(LN((1-E25)/E25))^-1*LN((D27-D26)/(E26-D26))/(D52*(1-D52))+((1-2*E25)*(LN((1-E25)/E25)))^-1*LN(((D27-D26)*(E26-D26))/(F26-D26)^2)*((D52-0.5)/(D52*(1-D52))+LN(D52/(1-D52))))^(-1)*EXP(-(LN(F26-D26)+(1/2)*(LN((1-E25)/E25))^-1*LN((D27-D26)/(E26-D26))*LN(D52/(1-D52))+((1-2*E25)*(LN((1-E25)/E25)))^-1*LN(((D27-D26)*(E26-D26))/(F26-D26)^2)*(D52-0.5)*LN(D52/(1-D52)))),IF(F25="su",(-(1/2)*(LN((1-E25)/E25))^-1*LN((E27-D27)/(E27-E26))/(D52*(1-D52))-((1-2*E25)*(LN((1-E25)/E25)))^-1*LN(((E27-D27)*(E27-E26))/(E27-F26)^2)*((D52-0.5)/(D52*(1-D52))+LN(D52/(1-D52))))^(-1)*EXP((-LN(E27-F26)-(1/2)*(LN((1-E25)/E25))^-1*LN((E27-D27)/(E27-E26))*LN(D52/(1-D52))-((1-2*E25)*(LN((1-E25)/E25)))^-1*LN(((E27-D27)*(E27-E26))/(E27-F26)^2)*(D52-0.5)*LN(D52/(1-D52)))),IF(F25="b",((1/2)*(LN((1-E25)/E25))^-1*LN(((D27-D26)/(E27-D27))/((E26-D26)/(E27-E26)))/(D52*(1-D52))+((1-2*E25)*(LN((1-E25)/E25)))^-1*LN((((D27-D26)/(E27-D27))*((E26-D26)/(E27-E26)))/((F26-D26)/(E27-F26))^2)*((D52-0.5)/(D52*(1-D52))+LN(D52/(1-D52))))^(-1)*(1+EXP(LN((F26-D26)/(E27-F26))+(1/2)*(LN((1-E25)/E25))^-1*LN(((D27-D26)/(E27-D27))/((E26-D26)/(E27-E26)))*LN(D52/(1-D52))+((1-2*E25)*(LN((1-E25)/E25)))^-1*LN((((D27-D26)/(E27-D27))*((E26-D26)/(E27-E26)))/((F26-D26)/(E27-F26))^2)*(D52-0.5)*LN(D52/(1-D52))))^2/((E27-D26)*EXP(LN((F26-D26)/(E27-F26))+(1/2)*(LN((1-E25)/E25))^-1*LN(((D27-D26)/(E27-D27))/((E26-D26)/(E27-E26)))*LN(D52/(1-D52))+((1-2*E25)*(LN((1-E25)/E25)))^-1*LN((((D27-D26)/(E27-D27))*((E26-D26)/(E27-E26)))/((F26-D26)/(E27-F26))^2)*(D52-0.5)*LN(D52/(1-D52)))),NA())))))</f>
        <v>1.8385662368828659E-2</v>
      </c>
      <c r="H52" s="71">
        <v>16</v>
      </c>
      <c r="I52" s="68">
        <f t="shared" si="1"/>
        <v>10.789869948094294</v>
      </c>
      <c r="J52" s="69">
        <f t="shared" si="2"/>
        <v>6</v>
      </c>
      <c r="K52" s="70">
        <f t="shared" si="3"/>
        <v>3.7012544386450935E-3</v>
      </c>
      <c r="M52"/>
    </row>
    <row r="53" spans="4:13" x14ac:dyDescent="0.35">
      <c r="D53" s="49">
        <f>IF(F27&lt;&gt;"",NA(),(ROW()-ROW(D40))/100)</f>
        <v>0.13</v>
      </c>
      <c r="E53" s="50">
        <f>IF(F27&lt;&gt;"",NA(),IF(F25="u",F26+(1/2)*(LN((1-E25)/E25))^-1*(D27-E26)*LN(D53/(1-D53))+((1-2*E25)*(LN((1-E25)/E25)))^-1*(1-2*(F26-E26)/(D27-E26))*(D27-E26)*(D53-0.5)*LN(D53/(1-D53)),IF(F25="sl",D26+EXP(LN(F26-D26)+(1/2)*(LN((1-E25)/E25))^-1*LN((D27-D26)/(E26-D26))*LN(D53/(1-D53))+((1-2*E25)*(LN((1-E25)/E25)))^-1*LN(((D27-D26)*(E26-D26))/(F26-D26)^2)*(D53-0.5)*LN(D53/(1-D53))),IF(F25="su",E27-EXP(-(-LN(E27-F26)-(1/2)*(LN((1-E25)/E25))^-1*LN((E27-D27)/(E27-E26))*LN(D53/(1-D53))-((1-2*E25)*(LN((1-E25)/E25)))^-1*LN(((E27-D27)*(E27-E26))/(E27-F26)^2)*(D53-0.5)*LN(D53/(1-D53)))),IF(F25="b",(D26+E27*EXP(LN((F26-D26)/(E27-F26))+(1/2)*(LN((1-E25)/E25))^-1*LN(((D27-D26)/(E27-D27))/((E26-D26)/(E27-E26)))*LN(D53/(1-D53))+((1-2*E25)*(LN((1-E25)/E25)))^-1*LN((((D27-D26)/(E27-D27))*((E26-D26)/(E27-E26)))/((F26-D26)/(E27-F26))^2)*(D53-0.5)*LN(D53/(1-D53))))/(1+EXP(LN((F26-D26)/(E27-F26))+(1/2)*(LN((1-E25)/E25))^-1*LN(((D27-D26)/(E27-D27))/((E26-D26)/(E27-E26)))*LN(D53/(1-D53))+((1-2*E25)*(LN((1-E25)/E25)))^-1*LN((((D27-D26)/(E27-D27))*((E26-D26)/(E27-E26)))/((F26-D26)/(E27-F26))^2)*(D53-0.5)*LN(D53/(1-D53)))),NA())))))</f>
        <v>21.698109399096378</v>
      </c>
      <c r="F53" s="51">
        <f>IF(F27&lt;&gt;"",NA(),IF(F25="u",((1/2)*(LN((1-E25)/E25))^-1*(D27-E26)/(D53*(1-D53))+((1-2*E25)*(LN((1-E25)/E25)))^-1*(1-2*(F26-E26)/(D27-E26))*(D27-E26)*((D53-0.5)/(D53*(1-D53))+LN(D53/(1-D53))))^(-1),IF(F25="sl",((1/2)*(LN((1-E25)/E25))^-1*LN((D27-D26)/(E26-D26))/(D53*(1-D53))+((1-2*E25)*(LN((1-E25)/E25)))^-1*LN(((D27-D26)*(E26-D26))/(F26-D26)^2)*((D53-0.5)/(D53*(1-D53))+LN(D53/(1-D53))))^(-1)*EXP(-(LN(F26-D26)+(1/2)*(LN((1-E25)/E25))^-1*LN((D27-D26)/(E26-D26))*LN(D53/(1-D53))+((1-2*E25)*(LN((1-E25)/E25)))^-1*LN(((D27-D26)*(E26-D26))/(F26-D26)^2)*(D53-0.5)*LN(D53/(1-D53)))),IF(F25="su",(-(1/2)*(LN((1-E25)/E25))^-1*LN((E27-D27)/(E27-E26))/(D53*(1-D53))-((1-2*E25)*(LN((1-E25)/E25)))^-1*LN(((E27-D27)*(E27-E26))/(E27-F26)^2)*((D53-0.5)/(D53*(1-D53))+LN(D53/(1-D53))))^(-1)*EXP((-LN(E27-F26)-(1/2)*(LN((1-E25)/E25))^-1*LN((E27-D27)/(E27-E26))*LN(D53/(1-D53))-((1-2*E25)*(LN((1-E25)/E25)))^-1*LN(((E27-D27)*(E27-E26))/(E27-F26)^2)*(D53-0.5)*LN(D53/(1-D53)))),IF(F25="b",((1/2)*(LN((1-E25)/E25))^-1*LN(((D27-D26)/(E27-D27))/((E26-D26)/(E27-E26)))/(D53*(1-D53))+((1-2*E25)*(LN((1-E25)/E25)))^-1*LN((((D27-D26)/(E27-D27))*((E26-D26)/(E27-E26)))/((F26-D26)/(E27-F26))^2)*((D53-0.5)/(D53*(1-D53))+LN(D53/(1-D53))))^(-1)*(1+EXP(LN((F26-D26)/(E27-F26))+(1/2)*(LN((1-E25)/E25))^-1*LN(((D27-D26)/(E27-D27))/((E26-D26)/(E27-E26)))*LN(D53/(1-D53))+((1-2*E25)*(LN((1-E25)/E25)))^-1*LN((((D27-D26)/(E27-D27))*((E26-D26)/(E27-E26)))/((F26-D26)/(E27-F26))^2)*(D53-0.5)*LN(D53/(1-D53))))^2/((E27-D26)*EXP(LN((F26-D26)/(E27-F26))+(1/2)*(LN((1-E25)/E25))^-1*LN(((D27-D26)/(E27-D27))/((E26-D26)/(E27-E26)))*LN(D53/(1-D53))+((1-2*E25)*(LN((1-E25)/E25)))^-1*LN((((D27-D26)/(E27-D27))*((E26-D26)/(E27-E26)))/((F26-D26)/(E27-F26))^2)*(D53-0.5)*LN(D53/(1-D53)))),NA())))))</f>
        <v>1.9586657477901056E-2</v>
      </c>
      <c r="H53" s="71">
        <v>17</v>
      </c>
      <c r="I53" s="68">
        <f t="shared" si="1"/>
        <v>12.059930378037379</v>
      </c>
      <c r="J53" s="69">
        <f t="shared" si="2"/>
        <v>6</v>
      </c>
      <c r="K53" s="70">
        <f t="shared" si="3"/>
        <v>4.5669975515166931E-3</v>
      </c>
      <c r="M53"/>
    </row>
    <row r="54" spans="4:13" x14ac:dyDescent="0.35">
      <c r="D54" s="49">
        <f>IF(F27&lt;&gt;"",NA(),(ROW()-ROW(D40))/100)</f>
        <v>0.14000000000000001</v>
      </c>
      <c r="E54" s="50">
        <f>IF(F27&lt;&gt;"",NA(),IF(F25="u",F26+(1/2)*(LN((1-E25)/E25))^-1*(D27-E26)*LN(D54/(1-D54))+((1-2*E25)*(LN((1-E25)/E25)))^-1*(1-2*(F26-E26)/(D27-E26))*(D27-E26)*(D54-0.5)*LN(D54/(1-D54)),IF(F25="sl",D26+EXP(LN(F26-D26)+(1/2)*(LN((1-E25)/E25))^-1*LN((D27-D26)/(E26-D26))*LN(D54/(1-D54))+((1-2*E25)*(LN((1-E25)/E25)))^-1*LN(((D27-D26)*(E26-D26))/(F26-D26)^2)*(D54-0.5)*LN(D54/(1-D54))),IF(F25="su",E27-EXP(-(-LN(E27-F26)-(1/2)*(LN((1-E25)/E25))^-1*LN((E27-D27)/(E27-E26))*LN(D54/(1-D54))-((1-2*E25)*(LN((1-E25)/E25)))^-1*LN(((E27-D27)*(E27-E26))/(E27-F26)^2)*(D54-0.5)*LN(D54/(1-D54)))),IF(F25="b",(D26+E27*EXP(LN((F26-D26)/(E27-F26))+(1/2)*(LN((1-E25)/E25))^-1*LN(((D27-D26)/(E27-D27))/((E26-D26)/(E27-E26)))*LN(D54/(1-D54))+((1-2*E25)*(LN((1-E25)/E25)))^-1*LN((((D27-D26)/(E27-D27))*((E26-D26)/(E27-E26)))/((F26-D26)/(E27-F26))^2)*(D54-0.5)*LN(D54/(1-D54))))/(1+EXP(LN((F26-D26)/(E27-F26))+(1/2)*(LN((1-E25)/E25))^-1*LN(((D27-D26)/(E27-D27))/((E26-D26)/(E27-E26)))*LN(D54/(1-D54))+((1-2*E25)*(LN((1-E25)/E25)))^-1*LN((((D27-D26)/(E27-D27))*((E26-D26)/(E27-E26)))/((F26-D26)/(E27-F26))^2)*(D54-0.5)*LN(D54/(1-D54)))),NA())))))</f>
        <v>22.194301951144009</v>
      </c>
      <c r="F54" s="51">
        <f>IF(F27&lt;&gt;"",NA(),IF(F25="u",((1/2)*(LN((1-E25)/E25))^-1*(D27-E26)/(D54*(1-D54))+((1-2*E25)*(LN((1-E25)/E25)))^-1*(1-2*(F26-E26)/(D27-E26))*(D27-E26)*((D54-0.5)/(D54*(1-D54))+LN(D54/(1-D54))))^(-1),IF(F25="sl",((1/2)*(LN((1-E25)/E25))^-1*LN((D27-D26)/(E26-D26))/(D54*(1-D54))+((1-2*E25)*(LN((1-E25)/E25)))^-1*LN(((D27-D26)*(E26-D26))/(F26-D26)^2)*((D54-0.5)/(D54*(1-D54))+LN(D54/(1-D54))))^(-1)*EXP(-(LN(F26-D26)+(1/2)*(LN((1-E25)/E25))^-1*LN((D27-D26)/(E26-D26))*LN(D54/(1-D54))+((1-2*E25)*(LN((1-E25)/E25)))^-1*LN(((D27-D26)*(E26-D26))/(F26-D26)^2)*(D54-0.5)*LN(D54/(1-D54)))),IF(F25="su",(-(1/2)*(LN((1-E25)/E25))^-1*LN((E27-D27)/(E27-E26))/(D54*(1-D54))-((1-2*E25)*(LN((1-E25)/E25)))^-1*LN(((E27-D27)*(E27-E26))/(E27-F26)^2)*((D54-0.5)/(D54*(1-D54))+LN(D54/(1-D54))))^(-1)*EXP((-LN(E27-F26)-(1/2)*(LN((1-E25)/E25))^-1*LN((E27-D27)/(E27-E26))*LN(D54/(1-D54))-((1-2*E25)*(LN((1-E25)/E25)))^-1*LN(((E27-D27)*(E27-E26))/(E27-F26)^2)*(D54-0.5)*LN(D54/(1-D54)))),IF(F25="b",((1/2)*(LN((1-E25)/E25))^-1*LN(((D27-D26)/(E27-D27))/((E26-D26)/(E27-E26)))/(D54*(1-D54))+((1-2*E25)*(LN((1-E25)/E25)))^-1*LN((((D27-D26)/(E27-D27))*((E26-D26)/(E27-E26)))/((F26-D26)/(E27-F26))^2)*((D54-0.5)/(D54*(1-D54))+LN(D54/(1-D54))))^(-1)*(1+EXP(LN((F26-D26)/(E27-F26))+(1/2)*(LN((1-E25)/E25))^-1*LN(((D27-D26)/(E27-D27))/((E26-D26)/(E27-E26)))*LN(D54/(1-D54))+((1-2*E25)*(LN((1-E25)/E25)))^-1*LN((((D27-D26)/(E27-D27))*((E26-D26)/(E27-E26)))/((F26-D26)/(E27-F26))^2)*(D54-0.5)*LN(D54/(1-D54))))^2/((E27-D26)*EXP(LN((F26-D26)/(E27-F26))+(1/2)*(LN((1-E25)/E25))^-1*LN(((D27-D26)/(E27-D27))/((E26-D26)/(E27-E26)))*LN(D54/(1-D54))+((1-2*E25)*(LN((1-E25)/E25)))^-1*LN((((D27-D26)/(E27-D27))*((E26-D26)/(E27-E26)))/((F26-D26)/(E27-F26))^2)*(D54-0.5)*LN(D54/(1-D54)))),NA())))))</f>
        <v>2.0719460785463224E-2</v>
      </c>
      <c r="H54" s="71">
        <v>18</v>
      </c>
      <c r="I54" s="68">
        <f t="shared" si="1"/>
        <v>13.329990807980463</v>
      </c>
      <c r="J54" s="69">
        <f t="shared" si="2"/>
        <v>7</v>
      </c>
      <c r="K54" s="70">
        <f t="shared" si="3"/>
        <v>5.618357714263545E-3</v>
      </c>
      <c r="M54"/>
    </row>
    <row r="55" spans="4:13" x14ac:dyDescent="0.35">
      <c r="D55" s="49">
        <f>IF(F27&lt;&gt;"",NA(),(ROW()-ROW(D40))/100)</f>
        <v>0.15</v>
      </c>
      <c r="E55" s="50">
        <f>IF(F27&lt;&gt;"",NA(),IF(F25="u",F26+(1/2)*(LN((1-E25)/E25))^-1*(D27-E26)*LN(D55/(1-D55))+((1-2*E25)*(LN((1-E25)/E25)))^-1*(1-2*(F26-E26)/(D27-E26))*(D27-E26)*(D55-0.5)*LN(D55/(1-D55)),IF(F25="sl",D26+EXP(LN(F26-D26)+(1/2)*(LN((1-E25)/E25))^-1*LN((D27-D26)/(E26-D26))*LN(D55/(1-D55))+((1-2*E25)*(LN((1-E25)/E25)))^-1*LN(((D27-D26)*(E26-D26))/(F26-D26)^2)*(D55-0.5)*LN(D55/(1-D55))),IF(F25="su",E27-EXP(-(-LN(E27-F26)-(1/2)*(LN((1-E25)/E25))^-1*LN((E27-D27)/(E27-E26))*LN(D55/(1-D55))-((1-2*E25)*(LN((1-E25)/E25)))^-1*LN(((E27-D27)*(E27-E26))/(E27-F26)^2)*(D55-0.5)*LN(D55/(1-D55)))),IF(F25="b",(D26+E27*EXP(LN((F26-D26)/(E27-F26))+(1/2)*(LN((1-E25)/E25))^-1*LN(((D27-D26)/(E27-D27))/((E26-D26)/(E27-E26)))*LN(D55/(1-D55))+((1-2*E25)*(LN((1-E25)/E25)))^-1*LN((((D27-D26)/(E27-D27))*((E26-D26)/(E27-E26)))/((F26-D26)/(E27-F26))^2)*(D55-0.5)*LN(D55/(1-D55))))/(1+EXP(LN((F26-D26)/(E27-F26))+(1/2)*(LN((1-E25)/E25))^-1*LN(((D27-D26)/(E27-D27))/((E26-D26)/(E27-E26)))*LN(D55/(1-D55))+((1-2*E25)*(LN((1-E25)/E25)))^-1*LN((((D27-D26)/(E27-D27))*((E26-D26)/(E27-E26)))/((F26-D26)/(E27-F26))^2)*(D55-0.5)*LN(D55/(1-D55)))),NA())))))</f>
        <v>22.664828725292452</v>
      </c>
      <c r="F55" s="51">
        <f>IF(F27&lt;&gt;"",NA(),IF(F25="u",((1/2)*(LN((1-E25)/E25))^-1*(D27-E26)/(D55*(1-D55))+((1-2*E25)*(LN((1-E25)/E25)))^-1*(1-2*(F26-E26)/(D27-E26))*(D27-E26)*((D55-0.5)/(D55*(1-D55))+LN(D55/(1-D55))))^(-1),IF(F25="sl",((1/2)*(LN((1-E25)/E25))^-1*LN((D27-D26)/(E26-D26))/(D55*(1-D55))+((1-2*E25)*(LN((1-E25)/E25)))^-1*LN(((D27-D26)*(E26-D26))/(F26-D26)^2)*((D55-0.5)/(D55*(1-D55))+LN(D55/(1-D55))))^(-1)*EXP(-(LN(F26-D26)+(1/2)*(LN((1-E25)/E25))^-1*LN((D27-D26)/(E26-D26))*LN(D55/(1-D55))+((1-2*E25)*(LN((1-E25)/E25)))^-1*LN(((D27-D26)*(E26-D26))/(F26-D26)^2)*(D55-0.5)*LN(D55/(1-D55)))),IF(F25="su",(-(1/2)*(LN((1-E25)/E25))^-1*LN((E27-D27)/(E27-E26))/(D55*(1-D55))-((1-2*E25)*(LN((1-E25)/E25)))^-1*LN(((E27-D27)*(E27-E26))/(E27-F26)^2)*((D55-0.5)/(D55*(1-D55))+LN(D55/(1-D55))))^(-1)*EXP((-LN(E27-F26)-(1/2)*(LN((1-E25)/E25))^-1*LN((E27-D27)/(E27-E26))*LN(D55/(1-D55))-((1-2*E25)*(LN((1-E25)/E25)))^-1*LN(((E27-D27)*(E27-E26))/(E27-F26)^2)*(D55-0.5)*LN(D55/(1-D55)))),IF(F25="b",((1/2)*(LN((1-E25)/E25))^-1*LN(((D27-D26)/(E27-D27))/((E26-D26)/(E27-E26)))/(D55*(1-D55))+((1-2*E25)*(LN((1-E25)/E25)))^-1*LN((((D27-D26)/(E27-D27))*((E26-D26)/(E27-E26)))/((F26-D26)/(E27-F26))^2)*((D55-0.5)/(D55*(1-D55))+LN(D55/(1-D55))))^(-1)*(1+EXP(LN((F26-D26)/(E27-F26))+(1/2)*(LN((1-E25)/E25))^-1*LN(((D27-D26)/(E27-D27))/((E26-D26)/(E27-E26)))*LN(D55/(1-D55))+((1-2*E25)*(LN((1-E25)/E25)))^-1*LN((((D27-D26)/(E27-D27))*((E26-D26)/(E27-E26)))/((F26-D26)/(E27-F26))^2)*(D55-0.5)*LN(D55/(1-D55))))^2/((E27-D26)*EXP(LN((F26-D26)/(E27-F26))+(1/2)*(LN((1-E25)/E25))^-1*LN(((D27-D26)/(E27-D27))/((E26-D26)/(E27-E26)))*LN(D55/(1-D55))+((1-2*E25)*(LN((1-E25)/E25)))^-1*LN((((D27-D26)/(E27-D27))*((E26-D26)/(E27-E26)))/((F26-D26)/(E27-F26))^2)*(D55-0.5)*LN(D55/(1-D55)))),NA())))))</f>
        <v>2.178349043125731E-2</v>
      </c>
      <c r="H55" s="71">
        <v>19</v>
      </c>
      <c r="I55" s="68">
        <f t="shared" si="1"/>
        <v>14.600051237923548</v>
      </c>
      <c r="J55" s="69">
        <f t="shared" si="2"/>
        <v>8</v>
      </c>
      <c r="K55" s="70">
        <f t="shared" si="3"/>
        <v>6.8869618646646494E-3</v>
      </c>
      <c r="M55"/>
    </row>
    <row r="56" spans="4:13" x14ac:dyDescent="0.35">
      <c r="D56" s="49">
        <f>IF(F27&lt;&gt;"",NA(),(ROW()-ROW(D40))/100)</f>
        <v>0.16</v>
      </c>
      <c r="E56" s="50">
        <f>IF(F27&lt;&gt;"",NA(),IF(F25="u",F26+(1/2)*(LN((1-E25)/E25))^-1*(D27-E26)*LN(D56/(1-D56))+((1-2*E25)*(LN((1-E25)/E25)))^-1*(1-2*(F26-E26)/(D27-E26))*(D27-E26)*(D56-0.5)*LN(D56/(1-D56)),IF(F25="sl",D26+EXP(LN(F26-D26)+(1/2)*(LN((1-E25)/E25))^-1*LN((D27-D26)/(E26-D26))*LN(D56/(1-D56))+((1-2*E25)*(LN((1-E25)/E25)))^-1*LN(((D27-D26)*(E26-D26))/(F26-D26)^2)*(D56-0.5)*LN(D56/(1-D56))),IF(F25="su",E27-EXP(-(-LN(E27-F26)-(1/2)*(LN((1-E25)/E25))^-1*LN((E27-D27)/(E27-E26))*LN(D56/(1-D56))-((1-2*E25)*(LN((1-E25)/E25)))^-1*LN(((E27-D27)*(E27-E26))/(E27-F26)^2)*(D56-0.5)*LN(D56/(1-D56)))),IF(F25="b",(D26+E27*EXP(LN((F26-D26)/(E27-F26))+(1/2)*(LN((1-E25)/E25))^-1*LN(((D27-D26)/(E27-D27))/((E26-D26)/(E27-E26)))*LN(D56/(1-D56))+((1-2*E25)*(LN((1-E25)/E25)))^-1*LN((((D27-D26)/(E27-D27))*((E26-D26)/(E27-E26)))/((F26-D26)/(E27-F26))^2)*(D56-0.5)*LN(D56/(1-D56))))/(1+EXP(LN((F26-D26)/(E27-F26))+(1/2)*(LN((1-E25)/E25))^-1*LN(((D27-D26)/(E27-D27))/((E26-D26)/(E27-E26)))*LN(D56/(1-D56))+((1-2*E25)*(LN((1-E25)/E25)))^-1*LN((((D27-D26)/(E27-D27))*((E26-D26)/(E27-E26)))/((F26-D26)/(E27-F26))^2)*(D56-0.5)*LN(D56/(1-D56)))),NA())))))</f>
        <v>23.113599094104259</v>
      </c>
      <c r="F56" s="51">
        <f>IF(F27&lt;&gt;"",NA(),IF(F25="u",((1/2)*(LN((1-E25)/E25))^-1*(D27-E26)/(D56*(1-D56))+((1-2*E25)*(LN((1-E25)/E25)))^-1*(1-2*(F26-E26)/(D27-E26))*(D27-E26)*((D56-0.5)/(D56*(1-D56))+LN(D56/(1-D56))))^(-1),IF(F25="sl",((1/2)*(LN((1-E25)/E25))^-1*LN((D27-D26)/(E26-D26))/(D56*(1-D56))+((1-2*E25)*(LN((1-E25)/E25)))^-1*LN(((D27-D26)*(E26-D26))/(F26-D26)^2)*((D56-0.5)/(D56*(1-D56))+LN(D56/(1-D56))))^(-1)*EXP(-(LN(F26-D26)+(1/2)*(LN((1-E25)/E25))^-1*LN((D27-D26)/(E26-D26))*LN(D56/(1-D56))+((1-2*E25)*(LN((1-E25)/E25)))^-1*LN(((D27-D26)*(E26-D26))/(F26-D26)^2)*(D56-0.5)*LN(D56/(1-D56)))),IF(F25="su",(-(1/2)*(LN((1-E25)/E25))^-1*LN((E27-D27)/(E27-E26))/(D56*(1-D56))-((1-2*E25)*(LN((1-E25)/E25)))^-1*LN(((E27-D27)*(E27-E26))/(E27-F26)^2)*((D56-0.5)/(D56*(1-D56))+LN(D56/(1-D56))))^(-1)*EXP((-LN(E27-F26)-(1/2)*(LN((1-E25)/E25))^-1*LN((E27-D27)/(E27-E26))*LN(D56/(1-D56))-((1-2*E25)*(LN((1-E25)/E25)))^-1*LN(((E27-D27)*(E27-E26))/(E27-F26)^2)*(D56-0.5)*LN(D56/(1-D56)))),IF(F25="b",((1/2)*(LN((1-E25)/E25))^-1*LN(((D27-D26)/(E27-D27))/((E26-D26)/(E27-E26)))/(D56*(1-D56))+((1-2*E25)*(LN((1-E25)/E25)))^-1*LN((((D27-D26)/(E27-D27))*((E26-D26)/(E27-E26)))/((F26-D26)/(E27-F26))^2)*((D56-0.5)/(D56*(1-D56))+LN(D56/(1-D56))))^(-1)*(1+EXP(LN((F26-D26)/(E27-F26))+(1/2)*(LN((1-E25)/E25))^-1*LN(((D27-D26)/(E27-D27))/((E26-D26)/(E27-E26)))*LN(D56/(1-D56))+((1-2*E25)*(LN((1-E25)/E25)))^-1*LN((((D27-D26)/(E27-D27))*((E26-D26)/(E27-E26)))/((F26-D26)/(E27-F26))^2)*(D56-0.5)*LN(D56/(1-D56))))^2/((E27-D26)*EXP(LN((F26-D26)/(E27-F26))+(1/2)*(LN((1-E25)/E25))^-1*LN(((D27-D26)/(E27-D27))/((E26-D26)/(E27-E26)))*LN(D56/(1-D56))+((1-2*E25)*(LN((1-E25)/E25)))^-1*LN((((D27-D26)/(E27-D27))*((E26-D26)/(E27-E26)))/((F26-D26)/(E27-F26))^2)*(D56-0.5)*LN(D56/(1-D56)))),NA())))))</f>
        <v>2.2778691392181312E-2</v>
      </c>
      <c r="H56" s="71">
        <v>20</v>
      </c>
      <c r="I56" s="68">
        <f t="shared" si="1"/>
        <v>15.870111667866633</v>
      </c>
      <c r="J56" s="69">
        <f t="shared" si="2"/>
        <v>9</v>
      </c>
      <c r="K56" s="70">
        <f t="shared" si="3"/>
        <v>8.4591614151968194E-3</v>
      </c>
      <c r="M56"/>
    </row>
    <row r="57" spans="4:13" x14ac:dyDescent="0.35">
      <c r="D57" s="49">
        <f>IF(F27&lt;&gt;"",NA(),(ROW()-ROW(D40))/100)</f>
        <v>0.17</v>
      </c>
      <c r="E57" s="50">
        <f>IF(F27&lt;&gt;"",NA(),IF(F25="u",F26+(1/2)*(LN((1-E25)/E25))^-1*(D27-E26)*LN(D57/(1-D57))+((1-2*E25)*(LN((1-E25)/E25)))^-1*(1-2*(F26-E26)/(D27-E26))*(D27-E26)*(D57-0.5)*LN(D57/(1-D57)),IF(F25="sl",D26+EXP(LN(F26-D26)+(1/2)*(LN((1-E25)/E25))^-1*LN((D27-D26)/(E26-D26))*LN(D57/(1-D57))+((1-2*E25)*(LN((1-E25)/E25)))^-1*LN(((D27-D26)*(E26-D26))/(F26-D26)^2)*(D57-0.5)*LN(D57/(1-D57))),IF(F25="su",E27-EXP(-(-LN(E27-F26)-(1/2)*(LN((1-E25)/E25))^-1*LN((E27-D27)/(E27-E26))*LN(D57/(1-D57))-((1-2*E25)*(LN((1-E25)/E25)))^-1*LN(((E27-D27)*(E27-E26))/(E27-F26)^2)*(D57-0.5)*LN(D57/(1-D57)))),IF(F25="b",(D26+E27*EXP(LN((F26-D26)/(E27-F26))+(1/2)*(LN((1-E25)/E25))^-1*LN(((D27-D26)/(E27-D27))/((E26-D26)/(E27-E26)))*LN(D57/(1-D57))+((1-2*E25)*(LN((1-E25)/E25)))^-1*LN((((D27-D26)/(E27-D27))*((E26-D26)/(E27-E26)))/((F26-D26)/(E27-F26))^2)*(D57-0.5)*LN(D57/(1-D57))))/(1+EXP(LN((F26-D26)/(E27-F26))+(1/2)*(LN((1-E25)/E25))^-1*LN(((D27-D26)/(E27-D27))/((E26-D26)/(E27-E26)))*LN(D57/(1-D57))+((1-2*E25)*(LN((1-E25)/E25)))^-1*LN((((D27-D26)/(E27-D27))*((E26-D26)/(E27-E26)))/((F26-D26)/(E27-F26))^2)*(D57-0.5)*LN(D57/(1-D57)))),NA())))))</f>
        <v>23.543805184267804</v>
      </c>
      <c r="F57" s="51">
        <f>IF(F27&lt;&gt;"",NA(),IF(F25="u",((1/2)*(LN((1-E25)/E25))^-1*(D27-E26)/(D57*(1-D57))+((1-2*E25)*(LN((1-E25)/E25)))^-1*(1-2*(F26-E26)/(D27-E26))*(D27-E26)*((D57-0.5)/(D57*(1-D57))+LN(D57/(1-D57))))^(-1),IF(F25="sl",((1/2)*(LN((1-E25)/E25))^-1*LN((D27-D26)/(E26-D26))/(D57*(1-D57))+((1-2*E25)*(LN((1-E25)/E25)))^-1*LN(((D27-D26)*(E26-D26))/(F26-D26)^2)*((D57-0.5)/(D57*(1-D57))+LN(D57/(1-D57))))^(-1)*EXP(-(LN(F26-D26)+(1/2)*(LN((1-E25)/E25))^-1*LN((D27-D26)/(E26-D26))*LN(D57/(1-D57))+((1-2*E25)*(LN((1-E25)/E25)))^-1*LN(((D27-D26)*(E26-D26))/(F26-D26)^2)*(D57-0.5)*LN(D57/(1-D57)))),IF(F25="su",(-(1/2)*(LN((1-E25)/E25))^-1*LN((E27-D27)/(E27-E26))/(D57*(1-D57))-((1-2*E25)*(LN((1-E25)/E25)))^-1*LN(((E27-D27)*(E27-E26))/(E27-F26)^2)*((D57-0.5)/(D57*(1-D57))+LN(D57/(1-D57))))^(-1)*EXP((-LN(E27-F26)-(1/2)*(LN((1-E25)/E25))^-1*LN((E27-D27)/(E27-E26))*LN(D57/(1-D57))-((1-2*E25)*(LN((1-E25)/E25)))^-1*LN(((E27-D27)*(E27-E26))/(E27-F26)^2)*(D57-0.5)*LN(D57/(1-D57)))),IF(F25="b",((1/2)*(LN((1-E25)/E25))^-1*LN(((D27-D26)/(E27-D27))/((E26-D26)/(E27-E26)))/(D57*(1-D57))+((1-2*E25)*(LN((1-E25)/E25)))^-1*LN((((D27-D26)/(E27-D27))*((E26-D26)/(E27-E26)))/((F26-D26)/(E27-F26))^2)*((D57-0.5)/(D57*(1-D57))+LN(D57/(1-D57))))^(-1)*(1+EXP(LN((F26-D26)/(E27-F26))+(1/2)*(LN((1-E25)/E25))^-1*LN(((D27-D26)/(E27-D27))/((E26-D26)/(E27-E26)))*LN(D57/(1-D57))+((1-2*E25)*(LN((1-E25)/E25)))^-1*LN((((D27-D26)/(E27-D27))*((E26-D26)/(E27-E26)))/((F26-D26)/(E27-F26))^2)*(D57-0.5)*LN(D57/(1-D57))))^2/((E27-D26)*EXP(LN((F26-D26)/(E27-F26))+(1/2)*(LN((1-E25)/E25))^-1*LN(((D27-D26)/(E27-D27))/((E26-D26)/(E27-E26)))*LN(D57/(1-D57))+((1-2*E25)*(LN((1-E25)/E25)))^-1*LN((((D27-D26)/(E27-D27))*((E26-D26)/(E27-E26)))/((F26-D26)/(E27-F26))^2)*(D57-0.5)*LN(D57/(1-D57)))),NA())))))</f>
        <v>2.370546666137676E-2</v>
      </c>
      <c r="H57" s="71">
        <v>21</v>
      </c>
      <c r="I57" s="68">
        <f t="shared" si="1"/>
        <v>17.140172097809717</v>
      </c>
      <c r="J57" s="69">
        <f t="shared" si="2"/>
        <v>10</v>
      </c>
      <c r="K57" s="70">
        <f t="shared" si="3"/>
        <v>1.0360394938930676E-2</v>
      </c>
      <c r="M57"/>
    </row>
    <row r="58" spans="4:13" x14ac:dyDescent="0.35">
      <c r="D58" s="49">
        <f>IF(F27&lt;&gt;"",NA(),(ROW()-ROW(D40))/100)</f>
        <v>0.18</v>
      </c>
      <c r="E58" s="50">
        <f>IF(F27&lt;&gt;"",NA(),IF(F25="u",F26+(1/2)*(LN((1-E25)/E25))^-1*(D27-E26)*LN(D58/(1-D58))+((1-2*E25)*(LN((1-E25)/E25)))^-1*(1-2*(F26-E26)/(D27-E26))*(D27-E26)*(D58-0.5)*LN(D58/(1-D58)),IF(F25="sl",D26+EXP(LN(F26-D26)+(1/2)*(LN((1-E25)/E25))^-1*LN((D27-D26)/(E26-D26))*LN(D58/(1-D58))+((1-2*E25)*(LN((1-E25)/E25)))^-1*LN(((D27-D26)*(E26-D26))/(F26-D26)^2)*(D58-0.5)*LN(D58/(1-D58))),IF(F25="su",E27-EXP(-(-LN(E27-F26)-(1/2)*(LN((1-E25)/E25))^-1*LN((E27-D27)/(E27-E26))*LN(D58/(1-D58))-((1-2*E25)*(LN((1-E25)/E25)))^-1*LN(((E27-D27)*(E27-E26))/(E27-F26)^2)*(D58-0.5)*LN(D58/(1-D58)))),IF(F25="b",(D26+E27*EXP(LN((F26-D26)/(E27-F26))+(1/2)*(LN((1-E25)/E25))^-1*LN(((D27-D26)/(E27-D27))/((E26-D26)/(E27-E26)))*LN(D58/(1-D58))+((1-2*E25)*(LN((1-E25)/E25)))^-1*LN((((D27-D26)/(E27-D27))*((E26-D26)/(E27-E26)))/((F26-D26)/(E27-F26))^2)*(D58-0.5)*LN(D58/(1-D58))))/(1+EXP(LN((F26-D26)/(E27-F26))+(1/2)*(LN((1-E25)/E25))^-1*LN(((D27-D26)/(E27-D27))/((E26-D26)/(E27-E26)))*LN(D58/(1-D58))+((1-2*E25)*(LN((1-E25)/E25)))^-1*LN((((D27-D26)/(E27-D27))*((E26-D26)/(E27-E26)))/((F26-D26)/(E27-F26))^2)*(D58-0.5)*LN(D58/(1-D58)))),NA())))))</f>
        <v>23.95808827184036</v>
      </c>
      <c r="F58" s="51">
        <f>IF(F27&lt;&gt;"",NA(),IF(F25="u",((1/2)*(LN((1-E25)/E25))^-1*(D27-E26)/(D58*(1-D58))+((1-2*E25)*(LN((1-E25)/E25)))^-1*(1-2*(F26-E26)/(D27-E26))*(D27-E26)*((D58-0.5)/(D58*(1-D58))+LN(D58/(1-D58))))^(-1),IF(F25="sl",((1/2)*(LN((1-E25)/E25))^-1*LN((D27-D26)/(E26-D26))/(D58*(1-D58))+((1-2*E25)*(LN((1-E25)/E25)))^-1*LN(((D27-D26)*(E26-D26))/(F26-D26)^2)*((D58-0.5)/(D58*(1-D58))+LN(D58/(1-D58))))^(-1)*EXP(-(LN(F26-D26)+(1/2)*(LN((1-E25)/E25))^-1*LN((D27-D26)/(E26-D26))*LN(D58/(1-D58))+((1-2*E25)*(LN((1-E25)/E25)))^-1*LN(((D27-D26)*(E26-D26))/(F26-D26)^2)*(D58-0.5)*LN(D58/(1-D58)))),IF(F25="su",(-(1/2)*(LN((1-E25)/E25))^-1*LN((E27-D27)/(E27-E26))/(D58*(1-D58))-((1-2*E25)*(LN((1-E25)/E25)))^-1*LN(((E27-D27)*(E27-E26))/(E27-F26)^2)*((D58-0.5)/(D58*(1-D58))+LN(D58/(1-D58))))^(-1)*EXP((-LN(E27-F26)-(1/2)*(LN((1-E25)/E25))^-1*LN((E27-D27)/(E27-E26))*LN(D58/(1-D58))-((1-2*E25)*(LN((1-E25)/E25)))^-1*LN(((E27-D27)*(E27-E26))/(E27-F26)^2)*(D58-0.5)*LN(D58/(1-D58)))),IF(F25="b",((1/2)*(LN((1-E25)/E25))^-1*LN(((D27-D26)/(E27-D27))/((E26-D26)/(E27-E26)))/(D58*(1-D58))+((1-2*E25)*(LN((1-E25)/E25)))^-1*LN((((D27-D26)/(E27-D27))*((E26-D26)/(E27-E26)))/((F26-D26)/(E27-F26))^2)*((D58-0.5)/(D58*(1-D58))+LN(D58/(1-D58))))^(-1)*(1+EXP(LN((F26-D26)/(E27-F26))+(1/2)*(LN((1-E25)/E25))^-1*LN(((D27-D26)/(E27-D27))/((E26-D26)/(E27-E26)))*LN(D58/(1-D58))+((1-2*E25)*(LN((1-E25)/E25)))^-1*LN((((D27-D26)/(E27-D27))*((E26-D26)/(E27-E26)))/((F26-D26)/(E27-F26))^2)*(D58-0.5)*LN(D58/(1-D58))))^2/((E27-D26)*EXP(LN((F26-D26)/(E27-F26))+(1/2)*(LN((1-E25)/E25))^-1*LN(((D27-D26)/(E27-D27))/((E26-D26)/(E27-E26)))*LN(D58/(1-D58))+((1-2*E25)*(LN((1-E25)/E25)))^-1*LN((((D27-D26)/(E27-D27))*((E26-D26)/(E27-E26)))/((F26-D26)/(E27-F26))^2)*(D58-0.5)*LN(D58/(1-D58)))),NA())))))</f>
        <v>2.4564613172757033E-2</v>
      </c>
      <c r="H58" s="71">
        <v>22</v>
      </c>
      <c r="I58" s="68">
        <f t="shared" si="1"/>
        <v>18.410232527752804</v>
      </c>
      <c r="J58" s="69">
        <f t="shared" si="2"/>
        <v>11</v>
      </c>
      <c r="K58" s="70">
        <f t="shared" si="3"/>
        <v>1.25773457723042E-2</v>
      </c>
      <c r="M58"/>
    </row>
    <row r="59" spans="4:13" ht="15" customHeight="1" x14ac:dyDescent="0.35">
      <c r="D59" s="49">
        <f>IF(F27&lt;&gt;"",NA(),(ROW()-ROW(D40))/100)</f>
        <v>0.19</v>
      </c>
      <c r="E59" s="50">
        <f>IF(F27&lt;&gt;"",NA(),IF(F25="u",F26+(1/2)*(LN((1-E25)/E25))^-1*(D27-E26)*LN(D59/(1-D59))+((1-2*E25)*(LN((1-E25)/E25)))^-1*(1-2*(F26-E26)/(D27-E26))*(D27-E26)*(D59-0.5)*LN(D59/(1-D59)),IF(F25="sl",D26+EXP(LN(F26-D26)+(1/2)*(LN((1-E25)/E25))^-1*LN((D27-D26)/(E26-D26))*LN(D59/(1-D59))+((1-2*E25)*(LN((1-E25)/E25)))^-1*LN(((D27-D26)*(E26-D26))/(F26-D26)^2)*(D59-0.5)*LN(D59/(1-D59))),IF(F25="su",E27-EXP(-(-LN(E27-F26)-(1/2)*(LN((1-E25)/E25))^-1*LN((E27-D27)/(E27-E26))*LN(D59/(1-D59))-((1-2*E25)*(LN((1-E25)/E25)))^-1*LN(((E27-D27)*(E27-E26))/(E27-F26)^2)*(D59-0.5)*LN(D59/(1-D59)))),IF(F25="b",(D26+E27*EXP(LN((F26-D26)/(E27-F26))+(1/2)*(LN((1-E25)/E25))^-1*LN(((D27-D26)/(E27-D27))/((E26-D26)/(E27-E26)))*LN(D59/(1-D59))+((1-2*E25)*(LN((1-E25)/E25)))^-1*LN((((D27-D26)/(E27-D27))*((E26-D26)/(E27-E26)))/((F26-D26)/(E27-F26))^2)*(D59-0.5)*LN(D59/(1-D59))))/(1+EXP(LN((F26-D26)/(E27-F26))+(1/2)*(LN((1-E25)/E25))^-1*LN(((D27-D26)/(E27-D27))/((E26-D26)/(E27-E26)))*LN(D59/(1-D59))+((1-2*E25)*(LN((1-E25)/E25)))^-1*LN((((D27-D26)/(E27-D27))*((E26-D26)/(E27-E26)))/((F26-D26)/(E27-F26))^2)*(D59-0.5)*LN(D59/(1-D59)))),NA())))))</f>
        <v>24.358659865173902</v>
      </c>
      <c r="F59" s="51">
        <f>IF(F27&lt;&gt;"",NA(),IF(F25="u",((1/2)*(LN((1-E25)/E25))^-1*(D27-E26)/(D59*(1-D59))+((1-2*E25)*(LN((1-E25)/E25)))^-1*(1-2*(F26-E26)/(D27-E26))*(D27-E26)*((D59-0.5)/(D59*(1-D59))+LN(D59/(1-D59))))^(-1),IF(F25="sl",((1/2)*(LN((1-E25)/E25))^-1*LN((D27-D26)/(E26-D26))/(D59*(1-D59))+((1-2*E25)*(LN((1-E25)/E25)))^-1*LN(((D27-D26)*(E26-D26))/(F26-D26)^2)*((D59-0.5)/(D59*(1-D59))+LN(D59/(1-D59))))^(-1)*EXP(-(LN(F26-D26)+(1/2)*(LN((1-E25)/E25))^-1*LN((D27-D26)/(E26-D26))*LN(D59/(1-D59))+((1-2*E25)*(LN((1-E25)/E25)))^-1*LN(((D27-D26)*(E26-D26))/(F26-D26)^2)*(D59-0.5)*LN(D59/(1-D59)))),IF(F25="su",(-(1/2)*(LN((1-E25)/E25))^-1*LN((E27-D27)/(E27-E26))/(D59*(1-D59))-((1-2*E25)*(LN((1-E25)/E25)))^-1*LN(((E27-D27)*(E27-E26))/(E27-F26)^2)*((D59-0.5)/(D59*(1-D59))+LN(D59/(1-D59))))^(-1)*EXP((-LN(E27-F26)-(1/2)*(LN((1-E25)/E25))^-1*LN((E27-D27)/(E27-E26))*LN(D59/(1-D59))-((1-2*E25)*(LN((1-E25)/E25)))^-1*LN(((E27-D27)*(E27-E26))/(E27-F26)^2)*(D59-0.5)*LN(D59/(1-D59)))),IF(F25="b",((1/2)*(LN((1-E25)/E25))^-1*LN(((D27-D26)/(E27-D27))/((E26-D26)/(E27-E26)))/(D59*(1-D59))+((1-2*E25)*(LN((1-E25)/E25)))^-1*LN((((D27-D26)/(E27-D27))*((E26-D26)/(E27-E26)))/((F26-D26)/(E27-F26))^2)*((D59-0.5)/(D59*(1-D59))+LN(D59/(1-D59))))^(-1)*(1+EXP(LN((F26-D26)/(E27-F26))+(1/2)*(LN((1-E25)/E25))^-1*LN(((D27-D26)/(E27-D27))/((E26-D26)/(E27-E26)))*LN(D59/(1-D59))+((1-2*E25)*(LN((1-E25)/E25)))^-1*LN((((D27-D26)/(E27-D27))*((E26-D26)/(E27-E26)))/((F26-D26)/(E27-F26))^2)*(D59-0.5)*LN(D59/(1-D59))))^2/((E27-D26)*EXP(LN((F26-D26)/(E27-F26))+(1/2)*(LN((1-E25)/E25))^-1*LN(((D27-D26)/(E27-D27))/((E26-D26)/(E27-E26)))*LN(D59/(1-D59))+((1-2*E25)*(LN((1-E25)/E25)))^-1*LN((((D27-D26)/(E27-D27))*((E26-D26)/(E27-E26)))/((F26-D26)/(E27-F26))^2)*(D59-0.5)*LN(D59/(1-D59)))),NA())))))</f>
        <v>2.5357262494457619E-2</v>
      </c>
      <c r="H59" s="71">
        <v>23</v>
      </c>
      <c r="I59" s="68">
        <f t="shared" si="1"/>
        <v>19.68029295769589</v>
      </c>
      <c r="J59" s="69">
        <f t="shared" si="2"/>
        <v>13</v>
      </c>
      <c r="K59" s="70">
        <f t="shared" si="3"/>
        <v>1.511158089926265E-2</v>
      </c>
      <c r="M59"/>
    </row>
    <row r="60" spans="4:13" x14ac:dyDescent="0.35">
      <c r="D60" s="49">
        <f>IF(F27&lt;&gt;"",NA(),(ROW()-ROW(D40))/100)</f>
        <v>0.2</v>
      </c>
      <c r="E60" s="50">
        <f>IF(F27&lt;&gt;"",NA(),IF(F25="u",F26+(1/2)*(LN((1-E25)/E25))^-1*(D27-E26)*LN(D60/(1-D60))+((1-2*E25)*(LN((1-E25)/E25)))^-1*(1-2*(F26-E26)/(D27-E26))*(D27-E26)*(D60-0.5)*LN(D60/(1-D60)),IF(F25="sl",D26+EXP(LN(F26-D26)+(1/2)*(LN((1-E25)/E25))^-1*LN((D27-D26)/(E26-D26))*LN(D60/(1-D60))+((1-2*E25)*(LN((1-E25)/E25)))^-1*LN(((D27-D26)*(E26-D26))/(F26-D26)^2)*(D60-0.5)*LN(D60/(1-D60))),IF(F25="su",E27-EXP(-(-LN(E27-F26)-(1/2)*(LN((1-E25)/E25))^-1*LN((E27-D27)/(E27-E26))*LN(D60/(1-D60))-((1-2*E25)*(LN((1-E25)/E25)))^-1*LN(((E27-D27)*(E27-E26))/(E27-F26)^2)*(D60-0.5)*LN(D60/(1-D60)))),IF(F25="b",(D26+E27*EXP(LN((F26-D26)/(E27-F26))+(1/2)*(LN((1-E25)/E25))^-1*LN(((D27-D26)/(E27-D27))/((E26-D26)/(E27-E26)))*LN(D60/(1-D60))+((1-2*E25)*(LN((1-E25)/E25)))^-1*LN((((D27-D26)/(E27-D27))*((E26-D26)/(E27-E26)))/((F26-D26)/(E27-F26))^2)*(D60-0.5)*LN(D60/(1-D60))))/(1+EXP(LN((F26-D26)/(E27-F26))+(1/2)*(LN((1-E25)/E25))^-1*LN(((D27-D26)/(E27-D27))/((E26-D26)/(E27-E26)))*LN(D60/(1-D60))+((1-2*E25)*(LN((1-E25)/E25)))^-1*LN((((D27-D26)/(E27-D27))*((E26-D26)/(E27-E26)))/((F26-D26)/(E27-F26))^2)*(D60-0.5)*LN(D60/(1-D60)))),NA())))))</f>
        <v>24.747391504463817</v>
      </c>
      <c r="F60" s="51">
        <f>IF(F27&lt;&gt;"",NA(),IF(F25="u",((1/2)*(LN((1-E25)/E25))^-1*(D27-E26)/(D60*(1-D60))+((1-2*E25)*(LN((1-E25)/E25)))^-1*(1-2*(F26-E26)/(D27-E26))*(D27-E26)*((D60-0.5)/(D60*(1-D60))+LN(D60/(1-D60))))^(-1),IF(F25="sl",((1/2)*(LN((1-E25)/E25))^-1*LN((D27-D26)/(E26-D26))/(D60*(1-D60))+((1-2*E25)*(LN((1-E25)/E25)))^-1*LN(((D27-D26)*(E26-D26))/(F26-D26)^2)*((D60-0.5)/(D60*(1-D60))+LN(D60/(1-D60))))^(-1)*EXP(-(LN(F26-D26)+(1/2)*(LN((1-E25)/E25))^-1*LN((D27-D26)/(E26-D26))*LN(D60/(1-D60))+((1-2*E25)*(LN((1-E25)/E25)))^-1*LN(((D27-D26)*(E26-D26))/(F26-D26)^2)*(D60-0.5)*LN(D60/(1-D60)))),IF(F25="su",(-(1/2)*(LN((1-E25)/E25))^-1*LN((E27-D27)/(E27-E26))/(D60*(1-D60))-((1-2*E25)*(LN((1-E25)/E25)))^-1*LN(((E27-D27)*(E27-E26))/(E27-F26)^2)*((D60-0.5)/(D60*(1-D60))+LN(D60/(1-D60))))^(-1)*EXP((-LN(E27-F26)-(1/2)*(LN((1-E25)/E25))^-1*LN((E27-D27)/(E27-E26))*LN(D60/(1-D60))-((1-2*E25)*(LN((1-E25)/E25)))^-1*LN(((E27-D27)*(E27-E26))/(E27-F26)^2)*(D60-0.5)*LN(D60/(1-D60)))),IF(F25="b",((1/2)*(LN((1-E25)/E25))^-1*LN(((D27-D26)/(E27-D27))/((E26-D26)/(E27-E26)))/(D60*(1-D60))+((1-2*E25)*(LN((1-E25)/E25)))^-1*LN((((D27-D26)/(E27-D27))*((E26-D26)/(E27-E26)))/((F26-D26)/(E27-F26))^2)*((D60-0.5)/(D60*(1-D60))+LN(D60/(1-D60))))^(-1)*(1+EXP(LN((F26-D26)/(E27-F26))+(1/2)*(LN((1-E25)/E25))^-1*LN(((D27-D26)/(E27-D27))/((E26-D26)/(E27-E26)))*LN(D60/(1-D60))+((1-2*E25)*(LN((1-E25)/E25)))^-1*LN((((D27-D26)/(E27-D27))*((E26-D26)/(E27-E26)))/((F26-D26)/(E27-F26))^2)*(D60-0.5)*LN(D60/(1-D60))))^2/((E27-D26)*EXP(LN((F26-D26)/(E27-F26))+(1/2)*(LN((1-E25)/E25))^-1*LN(((D27-D26)/(E27-D27))/((E26-D26)/(E27-E26)))*LN(D60/(1-D60))+((1-2*E25)*(LN((1-E25)/E25)))^-1*LN((((D27-D26)/(E27-D27))*((E26-D26)/(E27-E26)))/((F26-D26)/(E27-F26))^2)*(D60-0.5)*LN(D60/(1-D60)))),NA())))))</f>
        <v>2.6084826316305716E-2</v>
      </c>
      <c r="H60" s="71">
        <v>24</v>
      </c>
      <c r="I60" s="68">
        <f t="shared" si="1"/>
        <v>20.950353387638977</v>
      </c>
      <c r="J60" s="69">
        <f t="shared" si="2"/>
        <v>15</v>
      </c>
      <c r="K60" s="70">
        <f t="shared" si="3"/>
        <v>1.7888182150382549E-2</v>
      </c>
      <c r="M60"/>
    </row>
    <row r="61" spans="4:13" x14ac:dyDescent="0.35">
      <c r="D61" s="49">
        <f>IF(F27&lt;&gt;"",NA(),(ROW()-ROW(D40))/100)</f>
        <v>0.21</v>
      </c>
      <c r="E61" s="50">
        <f>IF(F27&lt;&gt;"",NA(),IF(F25="u",F26+(1/2)*(LN((1-E25)/E25))^-1*(D27-E26)*LN(D61/(1-D61))+((1-2*E25)*(LN((1-E25)/E25)))^-1*(1-2*(F26-E26)/(D27-E26))*(D27-E26)*(D61-0.5)*LN(D61/(1-D61)),IF(F25="sl",D26+EXP(LN(F26-D26)+(1/2)*(LN((1-E25)/E25))^-1*LN((D27-D26)/(E26-D26))*LN(D61/(1-D61))+((1-2*E25)*(LN((1-E25)/E25)))^-1*LN(((D27-D26)*(E26-D26))/(F26-D26)^2)*(D61-0.5)*LN(D61/(1-D61))),IF(F25="su",E27-EXP(-(-LN(E27-F26)-(1/2)*(LN((1-E25)/E25))^-1*LN((E27-D27)/(E27-E26))*LN(D61/(1-D61))-((1-2*E25)*(LN((1-E25)/E25)))^-1*LN(((E27-D27)*(E27-E26))/(E27-F26)^2)*(D61-0.5)*LN(D61/(1-D61)))),IF(F25="b",(D26+E27*EXP(LN((F26-D26)/(E27-F26))+(1/2)*(LN((1-E25)/E25))^-1*LN(((D27-D26)/(E27-D27))/((E26-D26)/(E27-E26)))*LN(D61/(1-D61))+((1-2*E25)*(LN((1-E25)/E25)))^-1*LN((((D27-D26)/(E27-D27))*((E26-D26)/(E27-E26)))/((F26-D26)/(E27-F26))^2)*(D61-0.5)*LN(D61/(1-D61))))/(1+EXP(LN((F26-D26)/(E27-F26))+(1/2)*(LN((1-E25)/E25))^-1*LN(((D27-D26)/(E27-D27))/((E26-D26)/(E27-E26)))*LN(D61/(1-D61))+((1-2*E25)*(LN((1-E25)/E25)))^-1*LN((((D27-D26)/(E27-D27))*((E26-D26)/(E27-E26)))/((F26-D26)/(E27-F26))^2)*(D61-0.5)*LN(D61/(1-D61)))),NA())))))</f>
        <v>25.125882492754148</v>
      </c>
      <c r="F61" s="51">
        <f>IF(F27&lt;&gt;"",NA(),IF(F25="u",((1/2)*(LN((1-E25)/E25))^-1*(D27-E26)/(D61*(1-D61))+((1-2*E25)*(LN((1-E25)/E25)))^-1*(1-2*(F26-E26)/(D27-E26))*(D27-E26)*((D61-0.5)/(D61*(1-D61))+LN(D61/(1-D61))))^(-1),IF(F25="sl",((1/2)*(LN((1-E25)/E25))^-1*LN((D27-D26)/(E26-D26))/(D61*(1-D61))+((1-2*E25)*(LN((1-E25)/E25)))^-1*LN(((D27-D26)*(E26-D26))/(F26-D26)^2)*((D61-0.5)/(D61*(1-D61))+LN(D61/(1-D61))))^(-1)*EXP(-(LN(F26-D26)+(1/2)*(LN((1-E25)/E25))^-1*LN((D27-D26)/(E26-D26))*LN(D61/(1-D61))+((1-2*E25)*(LN((1-E25)/E25)))^-1*LN(((D27-D26)*(E26-D26))/(F26-D26)^2)*(D61-0.5)*LN(D61/(1-D61)))),IF(F25="su",(-(1/2)*(LN((1-E25)/E25))^-1*LN((E27-D27)/(E27-E26))/(D61*(1-D61))-((1-2*E25)*(LN((1-E25)/E25)))^-1*LN(((E27-D27)*(E27-E26))/(E27-F26)^2)*((D61-0.5)/(D61*(1-D61))+LN(D61/(1-D61))))^(-1)*EXP((-LN(E27-F26)-(1/2)*(LN((1-E25)/E25))^-1*LN((E27-D27)/(E27-E26))*LN(D61/(1-D61))-((1-2*E25)*(LN((1-E25)/E25)))^-1*LN(((E27-D27)*(E27-E26))/(E27-F26)^2)*(D61-0.5)*LN(D61/(1-D61)))),IF(F25="b",((1/2)*(LN((1-E25)/E25))^-1*LN(((D27-D26)/(E27-D27))/((E26-D26)/(E27-E26)))/(D61*(1-D61))+((1-2*E25)*(LN((1-E25)/E25)))^-1*LN((((D27-D26)/(E27-D27))*((E26-D26)/(E27-E26)))/((F26-D26)/(E27-F26))^2)*((D61-0.5)/(D61*(1-D61))+LN(D61/(1-D61))))^(-1)*(1+EXP(LN((F26-D26)/(E27-F26))+(1/2)*(LN((1-E25)/E25))^-1*LN(((D27-D26)/(E27-D27))/((E26-D26)/(E27-E26)))*LN(D61/(1-D61))+((1-2*E25)*(LN((1-E25)/E25)))^-1*LN((((D27-D26)/(E27-D27))*((E26-D26)/(E27-E26)))/((F26-D26)/(E27-F26))^2)*(D61-0.5)*LN(D61/(1-D61))))^2/((E27-D26)*EXP(LN((F26-D26)/(E27-F26))+(1/2)*(LN((1-E25)/E25))^-1*LN(((D27-D26)/(E27-D27))/((E26-D26)/(E27-E26)))*LN(D61/(1-D61))+((1-2*E25)*(LN((1-E25)/E25)))^-1*LN((((D27-D26)/(E27-D27))*((E26-D26)/(E27-E26)))/((F26-D26)/(E27-F26))^2)*(D61-0.5)*LN(D61/(1-D61)))),NA())))))</f>
        <v>2.6748946719584832E-2</v>
      </c>
      <c r="H61" s="71">
        <v>25</v>
      </c>
      <c r="I61" s="68">
        <f t="shared" si="1"/>
        <v>22.220413817582063</v>
      </c>
      <c r="J61" s="69">
        <f t="shared" si="2"/>
        <v>18</v>
      </c>
      <c r="K61" s="70">
        <f t="shared" si="3"/>
        <v>2.077850907245473E-2</v>
      </c>
      <c r="M61"/>
    </row>
    <row r="62" spans="4:13" x14ac:dyDescent="0.35">
      <c r="D62" s="49">
        <f>IF(F27&lt;&gt;"",NA(),(ROW()-ROW(D40))/100)</f>
        <v>0.22</v>
      </c>
      <c r="E62" s="50">
        <f>IF(F27&lt;&gt;"",NA(),IF(F25="u",F26+(1/2)*(LN((1-E25)/E25))^-1*(D27-E26)*LN(D62/(1-D62))+((1-2*E25)*(LN((1-E25)/E25)))^-1*(1-2*(F26-E26)/(D27-E26))*(D27-E26)*(D62-0.5)*LN(D62/(1-D62)),IF(F25="sl",D26+EXP(LN(F26-D26)+(1/2)*(LN((1-E25)/E25))^-1*LN((D27-D26)/(E26-D26))*LN(D62/(1-D62))+((1-2*E25)*(LN((1-E25)/E25)))^-1*LN(((D27-D26)*(E26-D26))/(F26-D26)^2)*(D62-0.5)*LN(D62/(1-D62))),IF(F25="su",E27-EXP(-(-LN(E27-F26)-(1/2)*(LN((1-E25)/E25))^-1*LN((E27-D27)/(E27-E26))*LN(D62/(1-D62))-((1-2*E25)*(LN((1-E25)/E25)))^-1*LN(((E27-D27)*(E27-E26))/(E27-F26)^2)*(D62-0.5)*LN(D62/(1-D62)))),IF(F25="b",(D26+E27*EXP(LN((F26-D26)/(E27-F26))+(1/2)*(LN((1-E25)/E25))^-1*LN(((D27-D26)/(E27-D27))/((E26-D26)/(E27-E26)))*LN(D62/(1-D62))+((1-2*E25)*(LN((1-E25)/E25)))^-1*LN((((D27-D26)/(E27-D27))*((E26-D26)/(E27-E26)))/((F26-D26)/(E27-F26))^2)*(D62-0.5)*LN(D62/(1-D62))))/(1+EXP(LN((F26-D26)/(E27-F26))+(1/2)*(LN((1-E25)/E25))^-1*LN(((D27-D26)/(E27-D27))/((E26-D26)/(E27-E26)))*LN(D62/(1-D62))+((1-2*E25)*(LN((1-E25)/E25)))^-1*LN((((D27-D26)/(E27-D27))*((E26-D26)/(E27-E26)))/((F26-D26)/(E27-F26))^2)*(D62-0.5)*LN(D62/(1-D62)))),NA())))))</f>
        <v>25.495511758163598</v>
      </c>
      <c r="F62" s="51">
        <f>IF(F27&lt;&gt;"",NA(),IF(F25="u",((1/2)*(LN((1-E25)/E25))^-1*(D27-E26)/(D62*(1-D62))+((1-2*E25)*(LN((1-E25)/E25)))^-1*(1-2*(F26-E26)/(D27-E26))*(D27-E26)*((D62-0.5)/(D62*(1-D62))+LN(D62/(1-D62))))^(-1),IF(F25="sl",((1/2)*(LN((1-E25)/E25))^-1*LN((D27-D26)/(E26-D26))/(D62*(1-D62))+((1-2*E25)*(LN((1-E25)/E25)))^-1*LN(((D27-D26)*(E26-D26))/(F26-D26)^2)*((D62-0.5)/(D62*(1-D62))+LN(D62/(1-D62))))^(-1)*EXP(-(LN(F26-D26)+(1/2)*(LN((1-E25)/E25))^-1*LN((D27-D26)/(E26-D26))*LN(D62/(1-D62))+((1-2*E25)*(LN((1-E25)/E25)))^-1*LN(((D27-D26)*(E26-D26))/(F26-D26)^2)*(D62-0.5)*LN(D62/(1-D62)))),IF(F25="su",(-(1/2)*(LN((1-E25)/E25))^-1*LN((E27-D27)/(E27-E26))/(D62*(1-D62))-((1-2*E25)*(LN((1-E25)/E25)))^-1*LN(((E27-D27)*(E27-E26))/(E27-F26)^2)*((D62-0.5)/(D62*(1-D62))+LN(D62/(1-D62))))^(-1)*EXP((-LN(E27-F26)-(1/2)*(LN((1-E25)/E25))^-1*LN((E27-D27)/(E27-E26))*LN(D62/(1-D62))-((1-2*E25)*(LN((1-E25)/E25)))^-1*LN(((E27-D27)*(E27-E26))/(E27-F26)^2)*(D62-0.5)*LN(D62/(1-D62)))),IF(F25="b",((1/2)*(LN((1-E25)/E25))^-1*LN(((D27-D26)/(E27-D27))/((E26-D26)/(E27-E26)))/(D62*(1-D62))+((1-2*E25)*(LN((1-E25)/E25)))^-1*LN((((D27-D26)/(E27-D27))*((E26-D26)/(E27-E26)))/((F26-D26)/(E27-F26))^2)*((D62-0.5)/(D62*(1-D62))+LN(D62/(1-D62))))^(-1)*(1+EXP(LN((F26-D26)/(E27-F26))+(1/2)*(LN((1-E25)/E25))^-1*LN(((D27-D26)/(E27-D27))/((E26-D26)/(E27-E26)))*LN(D62/(1-D62))+((1-2*E25)*(LN((1-E25)/E25)))^-1*LN((((D27-D26)/(E27-D27))*((E26-D26)/(E27-E26)))/((F26-D26)/(E27-F26))^2)*(D62-0.5)*LN(D62/(1-D62))))^2/((E27-D26)*EXP(LN((F26-D26)/(E27-F26))+(1/2)*(LN((1-E25)/E25))^-1*LN(((D27-D26)/(E27-D27))/((E26-D26)/(E27-E26)))*LN(D62/(1-D62))+((1-2*E25)*(LN((1-E25)/E25)))^-1*LN((((D27-D26)/(E27-D27))*((E26-D26)/(E27-E26)))/((F26-D26)/(E27-F26))^2)*(D62-0.5)*LN(D62/(1-D62)))),NA())))))</f>
        <v>2.7351451164368708E-2</v>
      </c>
      <c r="H62" s="71">
        <v>26</v>
      </c>
      <c r="I62" s="68">
        <f t="shared" si="1"/>
        <v>23.49047424752515</v>
      </c>
      <c r="J62" s="69">
        <f t="shared" si="2"/>
        <v>20</v>
      </c>
      <c r="K62" s="70">
        <f t="shared" si="3"/>
        <v>2.3590578019894885E-2</v>
      </c>
      <c r="M62"/>
    </row>
    <row r="63" spans="4:13" x14ac:dyDescent="0.35">
      <c r="D63" s="49">
        <f>IF(F27&lt;&gt;"",NA(),(ROW()-ROW(D40))/100)</f>
        <v>0.23</v>
      </c>
      <c r="E63" s="50">
        <f>IF(F27&lt;&gt;"",NA(),IF(F25="u",F26+(1/2)*(LN((1-E25)/E25))^-1*(D27-E26)*LN(D63/(1-D63))+((1-2*E25)*(LN((1-E25)/E25)))^-1*(1-2*(F26-E26)/(D27-E26))*(D27-E26)*(D63-0.5)*LN(D63/(1-D63)),IF(F25="sl",D26+EXP(LN(F26-D26)+(1/2)*(LN((1-E25)/E25))^-1*LN((D27-D26)/(E26-D26))*LN(D63/(1-D63))+((1-2*E25)*(LN((1-E25)/E25)))^-1*LN(((D27-D26)*(E26-D26))/(F26-D26)^2)*(D63-0.5)*LN(D63/(1-D63))),IF(F25="su",E27-EXP(-(-LN(E27-F26)-(1/2)*(LN((1-E25)/E25))^-1*LN((E27-D27)/(E27-E26))*LN(D63/(1-D63))-((1-2*E25)*(LN((1-E25)/E25)))^-1*LN(((E27-D27)*(E27-E26))/(E27-F26)^2)*(D63-0.5)*LN(D63/(1-D63)))),IF(F25="b",(D26+E27*EXP(LN((F26-D26)/(E27-F26))+(1/2)*(LN((1-E25)/E25))^-1*LN(((D27-D26)/(E27-D27))/((E26-D26)/(E27-E26)))*LN(D63/(1-D63))+((1-2*E25)*(LN((1-E25)/E25)))^-1*LN((((D27-D26)/(E27-D27))*((E26-D26)/(E27-E26)))/((F26-D26)/(E27-F26))^2)*(D63-0.5)*LN(D63/(1-D63))))/(1+EXP(LN((F26-D26)/(E27-F26))+(1/2)*(LN((1-E25)/E25))^-1*LN(((D27-D26)/(E27-D27))/((E26-D26)/(E27-E26)))*LN(D63/(1-D63))+((1-2*E25)*(LN((1-E25)/E25)))^-1*LN((((D27-D26)/(E27-D27))*((E26-D26)/(E27-E26)))/((F26-D26)/(E27-F26))^2)*(D63-0.5)*LN(D63/(1-D63)))),NA())))))</f>
        <v>25.857478108656032</v>
      </c>
      <c r="F63" s="51">
        <f>IF(F27&lt;&gt;"",NA(),IF(F25="u",((1/2)*(LN((1-E25)/E25))^-1*(D27-E26)/(D63*(1-D63))+((1-2*E25)*(LN((1-E25)/E25)))^-1*(1-2*(F26-E26)/(D27-E26))*(D27-E26)*((D63-0.5)/(D63*(1-D63))+LN(D63/(1-D63))))^(-1),IF(F25="sl",((1/2)*(LN((1-E25)/E25))^-1*LN((D27-D26)/(E26-D26))/(D63*(1-D63))+((1-2*E25)*(LN((1-E25)/E25)))^-1*LN(((D27-D26)*(E26-D26))/(F26-D26)^2)*((D63-0.5)/(D63*(1-D63))+LN(D63/(1-D63))))^(-1)*EXP(-(LN(F26-D26)+(1/2)*(LN((1-E25)/E25))^-1*LN((D27-D26)/(E26-D26))*LN(D63/(1-D63))+((1-2*E25)*(LN((1-E25)/E25)))^-1*LN(((D27-D26)*(E26-D26))/(F26-D26)^2)*(D63-0.5)*LN(D63/(1-D63)))),IF(F25="su",(-(1/2)*(LN((1-E25)/E25))^-1*LN((E27-D27)/(E27-E26))/(D63*(1-D63))-((1-2*E25)*(LN((1-E25)/E25)))^-1*LN(((E27-D27)*(E27-E26))/(E27-F26)^2)*((D63-0.5)/(D63*(1-D63))+LN(D63/(1-D63))))^(-1)*EXP((-LN(E27-F26)-(1/2)*(LN((1-E25)/E25))^-1*LN((E27-D27)/(E27-E26))*LN(D63/(1-D63))-((1-2*E25)*(LN((1-E25)/E25)))^-1*LN(((E27-D27)*(E27-E26))/(E27-F26)^2)*(D63-0.5)*LN(D63/(1-D63)))),IF(F25="b",((1/2)*(LN((1-E25)/E25))^-1*LN(((D27-D26)/(E27-D27))/((E26-D26)/(E27-E26)))/(D63*(1-D63))+((1-2*E25)*(LN((1-E25)/E25)))^-1*LN((((D27-D26)/(E27-D27))*((E26-D26)/(E27-E26)))/((F26-D26)/(E27-F26))^2)*((D63-0.5)/(D63*(1-D63))+LN(D63/(1-D63))))^(-1)*(1+EXP(LN((F26-D26)/(E27-F26))+(1/2)*(LN((1-E25)/E25))^-1*LN(((D27-D26)/(E27-D27))/((E26-D26)/(E27-E26)))*LN(D63/(1-D63))+((1-2*E25)*(LN((1-E25)/E25)))^-1*LN((((D27-D26)/(E27-D27))*((E26-D26)/(E27-E26)))/((F26-D26)/(E27-F26))^2)*(D63-0.5)*LN(D63/(1-D63))))^2/((E27-D26)*EXP(LN((F26-D26)/(E27-F26))+(1/2)*(LN((1-E25)/E25))^-1*LN(((D27-D26)/(E27-D27))/((E26-D26)/(E27-E26)))*LN(D63/(1-D63))+((1-2*E25)*(LN((1-E25)/E25)))^-1*LN((((D27-D26)/(E27-D27))*((E26-D26)/(E27-E26)))/((F26-D26)/(E27-F26))^2)*(D63-0.5)*LN(D63/(1-D63)))),NA())))))</f>
        <v>2.7894312073629531E-2</v>
      </c>
      <c r="H63" s="71">
        <v>27</v>
      </c>
      <c r="I63" s="68">
        <f t="shared" si="1"/>
        <v>24.760534677468236</v>
      </c>
      <c r="J63" s="69">
        <f t="shared" si="2"/>
        <v>24</v>
      </c>
      <c r="K63" s="70">
        <f t="shared" si="3"/>
        <v>2.6107888026164358E-2</v>
      </c>
      <c r="M63"/>
    </row>
    <row r="64" spans="4:13" x14ac:dyDescent="0.35">
      <c r="D64" s="49">
        <f>IF(F27&lt;&gt;"",NA(),(ROW()-ROW(D40))/100)</f>
        <v>0.24</v>
      </c>
      <c r="E64" s="50">
        <f>IF(F27&lt;&gt;"",NA(),IF(F25="u",F26+(1/2)*(LN((1-E25)/E25))^-1*(D27-E26)*LN(D64/(1-D64))+((1-2*E25)*(LN((1-E25)/E25)))^-1*(1-2*(F26-E26)/(D27-E26))*(D27-E26)*(D64-0.5)*LN(D64/(1-D64)),IF(F25="sl",D26+EXP(LN(F26-D26)+(1/2)*(LN((1-E25)/E25))^-1*LN((D27-D26)/(E26-D26))*LN(D64/(1-D64))+((1-2*E25)*(LN((1-E25)/E25)))^-1*LN(((D27-D26)*(E26-D26))/(F26-D26)^2)*(D64-0.5)*LN(D64/(1-D64))),IF(F25="su",E27-EXP(-(-LN(E27-F26)-(1/2)*(LN((1-E25)/E25))^-1*LN((E27-D27)/(E27-E26))*LN(D64/(1-D64))-((1-2*E25)*(LN((1-E25)/E25)))^-1*LN(((E27-D27)*(E27-E26))/(E27-F26)^2)*(D64-0.5)*LN(D64/(1-D64)))),IF(F25="b",(D26+E27*EXP(LN((F26-D26)/(E27-F26))+(1/2)*(LN((1-E25)/E25))^-1*LN(((D27-D26)/(E27-D27))/((E26-D26)/(E27-E26)))*LN(D64/(1-D64))+((1-2*E25)*(LN((1-E25)/E25)))^-1*LN((((D27-D26)/(E27-D27))*((E26-D26)/(E27-E26)))/((F26-D26)/(E27-F26))^2)*(D64-0.5)*LN(D64/(1-D64))))/(1+EXP(LN((F26-D26)/(E27-F26))+(1/2)*(LN((1-E25)/E25))^-1*LN(((D27-D26)/(E27-D27))/((E26-D26)/(E27-E26)))*LN(D64/(1-D64))+((1-2*E25)*(LN((1-E25)/E25)))^-1*LN((((D27-D26)/(E27-D27))*((E26-D26)/(E27-E26)))/((F26-D26)/(E27-F26))^2)*(D64-0.5)*LN(D64/(1-D64)))),NA())))))</f>
        <v>26.212831864972564</v>
      </c>
      <c r="F64" s="51">
        <f>IF(F27&lt;&gt;"",NA(),IF(F25="u",((1/2)*(LN((1-E25)/E25))^-1*(D27-E26)/(D64*(1-D64))+((1-2*E25)*(LN((1-E25)/E25)))^-1*(1-2*(F26-E26)/(D27-E26))*(D27-E26)*((D64-0.5)/(D64*(1-D64))+LN(D64/(1-D64))))^(-1),IF(F25="sl",((1/2)*(LN((1-E25)/E25))^-1*LN((D27-D26)/(E26-D26))/(D64*(1-D64))+((1-2*E25)*(LN((1-E25)/E25)))^-1*LN(((D27-D26)*(E26-D26))/(F26-D26)^2)*((D64-0.5)/(D64*(1-D64))+LN(D64/(1-D64))))^(-1)*EXP(-(LN(F26-D26)+(1/2)*(LN((1-E25)/E25))^-1*LN((D27-D26)/(E26-D26))*LN(D64/(1-D64))+((1-2*E25)*(LN((1-E25)/E25)))^-1*LN(((D27-D26)*(E26-D26))/(F26-D26)^2)*(D64-0.5)*LN(D64/(1-D64)))),IF(F25="su",(-(1/2)*(LN((1-E25)/E25))^-1*LN((E27-D27)/(E27-E26))/(D64*(1-D64))-((1-2*E25)*(LN((1-E25)/E25)))^-1*LN(((E27-D27)*(E27-E26))/(E27-F26)^2)*((D64-0.5)/(D64*(1-D64))+LN(D64/(1-D64))))^(-1)*EXP((-LN(E27-F26)-(1/2)*(LN((1-E25)/E25))^-1*LN((E27-D27)/(E27-E26))*LN(D64/(1-D64))-((1-2*E25)*(LN((1-E25)/E25)))^-1*LN(((E27-D27)*(E27-E26))/(E27-F26)^2)*(D64-0.5)*LN(D64/(1-D64)))),IF(F25="b",((1/2)*(LN((1-E25)/E25))^-1*LN(((D27-D26)/(E27-D27))/((E26-D26)/(E27-E26)))/(D64*(1-D64))+((1-2*E25)*(LN((1-E25)/E25)))^-1*LN((((D27-D26)/(E27-D27))*((E26-D26)/(E27-E26)))/((F26-D26)/(E27-F26))^2)*((D64-0.5)/(D64*(1-D64))+LN(D64/(1-D64))))^(-1)*(1+EXP(LN((F26-D26)/(E27-F26))+(1/2)*(LN((1-E25)/E25))^-1*LN(((D27-D26)/(E27-D27))/((E26-D26)/(E27-E26)))*LN(D64/(1-D64))+((1-2*E25)*(LN((1-E25)/E25)))^-1*LN((((D27-D26)/(E27-D27))*((E26-D26)/(E27-E26)))/((F26-D26)/(E27-F26))^2)*(D64-0.5)*LN(D64/(1-D64))))^2/((E27-D26)*EXP(LN((F26-D26)/(E27-F26))+(1/2)*(LN((1-E25)/E25))^-1*LN(((D27-D26)/(E27-D27))/((E26-D26)/(E27-E26)))*LN(D64/(1-D64))+((1-2*E25)*(LN((1-E25)/E25)))^-1*LN((((D27-D26)/(E27-D27))*((E26-D26)/(E27-E26)))/((F26-D26)/(E27-F26))^2)*(D64-0.5)*LN(D64/(1-D64)))),NA())))))</f>
        <v>2.8379610841628339E-2</v>
      </c>
      <c r="H64" s="71">
        <v>28</v>
      </c>
      <c r="I64" s="68">
        <f t="shared" si="1"/>
        <v>26.030595107411322</v>
      </c>
      <c r="J64" s="69">
        <f t="shared" si="2"/>
        <v>27</v>
      </c>
      <c r="K64" s="70">
        <f t="shared" si="3"/>
        <v>2.8130734131148909E-2</v>
      </c>
      <c r="M64"/>
    </row>
    <row r="65" spans="4:13" x14ac:dyDescent="0.35">
      <c r="D65" s="49">
        <f>IF(F27&lt;&gt;"",NA(),(ROW()-ROW(D40))/100)</f>
        <v>0.25</v>
      </c>
      <c r="E65" s="50">
        <f>IF(F27&lt;&gt;"",NA(),IF(F25="u",F26+(1/2)*(LN((1-E25)/E25))^-1*(D27-E26)*LN(D65/(1-D65))+((1-2*E25)*(LN((1-E25)/E25)))^-1*(1-2*(F26-E26)/(D27-E26))*(D27-E26)*(D65-0.5)*LN(D65/(1-D65)),IF(F25="sl",D26+EXP(LN(F26-D26)+(1/2)*(LN((1-E25)/E25))^-1*LN((D27-D26)/(E26-D26))*LN(D65/(1-D65))+((1-2*E25)*(LN((1-E25)/E25)))^-1*LN(((D27-D26)*(E26-D26))/(F26-D26)^2)*(D65-0.5)*LN(D65/(1-D65))),IF(F25="su",E27-EXP(-(-LN(E27-F26)-(1/2)*(LN((1-E25)/E25))^-1*LN((E27-D27)/(E27-E26))*LN(D65/(1-D65))-((1-2*E25)*(LN((1-E25)/E25)))^-1*LN(((E27-D27)*(E27-E26))/(E27-F26)^2)*(D65-0.5)*LN(D65/(1-D65)))),IF(F25="b",(D26+E27*EXP(LN((F26-D26)/(E27-F26))+(1/2)*(LN((1-E25)/E25))^-1*LN(((D27-D26)/(E27-D27))/((E26-D26)/(E27-E26)))*LN(D65/(1-D65))+((1-2*E25)*(LN((1-E25)/E25)))^-1*LN((((D27-D26)/(E27-D27))*((E26-D26)/(E27-E26)))/((F26-D26)/(E27-F26))^2)*(D65-0.5)*LN(D65/(1-D65))))/(1+EXP(LN((F26-D26)/(E27-F26))+(1/2)*(LN((1-E25)/E25))^-1*LN(((D27-D26)/(E27-D27))/((E26-D26)/(E27-E26)))*LN(D65/(1-D65))+((1-2*E25)*(LN((1-E25)/E25)))^-1*LN((((D27-D26)/(E27-D27))*((E26-D26)/(E27-E26)))/((F26-D26)/(E27-F26))^2)*(D65-0.5)*LN(D65/(1-D65)))),NA())))))</f>
        <v>26.5625</v>
      </c>
      <c r="F65" s="51">
        <f>IF(F27&lt;&gt;"",NA(),IF(F25="u",((1/2)*(LN((1-E25)/E25))^-1*(D27-E26)/(D65*(1-D65))+((1-2*E25)*(LN((1-E25)/E25)))^-1*(1-2*(F26-E26)/(D27-E26))*(D27-E26)*((D65-0.5)/(D65*(1-D65))+LN(D65/(1-D65))))^(-1),IF(F25="sl",((1/2)*(LN((1-E25)/E25))^-1*LN((D27-D26)/(E26-D26))/(D65*(1-D65))+((1-2*E25)*(LN((1-E25)/E25)))^-1*LN(((D27-D26)*(E26-D26))/(F26-D26)^2)*((D65-0.5)/(D65*(1-D65))+LN(D65/(1-D65))))^(-1)*EXP(-(LN(F26-D26)+(1/2)*(LN((1-E25)/E25))^-1*LN((D27-D26)/(E26-D26))*LN(D65/(1-D65))+((1-2*E25)*(LN((1-E25)/E25)))^-1*LN(((D27-D26)*(E26-D26))/(F26-D26)^2)*(D65-0.5)*LN(D65/(1-D65)))),IF(F25="su",(-(1/2)*(LN((1-E25)/E25))^-1*LN((E27-D27)/(E27-E26))/(D65*(1-D65))-((1-2*E25)*(LN((1-E25)/E25)))^-1*LN(((E27-D27)*(E27-E26))/(E27-F26)^2)*((D65-0.5)/(D65*(1-D65))+LN(D65/(1-D65))))^(-1)*EXP((-LN(E27-F26)-(1/2)*(LN((1-E25)/E25))^-1*LN((E27-D27)/(E27-E26))*LN(D65/(1-D65))-((1-2*E25)*(LN((1-E25)/E25)))^-1*LN(((E27-D27)*(E27-E26))/(E27-F26)^2)*(D65-0.5)*LN(D65/(1-D65)))),IF(F25="b",((1/2)*(LN((1-E25)/E25))^-1*LN(((D27-D26)/(E27-D27))/((E26-D26)/(E27-E26)))/(D65*(1-D65))+((1-2*E25)*(LN((1-E25)/E25)))^-1*LN((((D27-D26)/(E27-D27))*((E26-D26)/(E27-E26)))/((F26-D26)/(E27-F26))^2)*((D65-0.5)/(D65*(1-D65))+LN(D65/(1-D65))))^(-1)*(1+EXP(LN((F26-D26)/(E27-F26))+(1/2)*(LN((1-E25)/E25))^-1*LN(((D27-D26)/(E27-D27))/((E26-D26)/(E27-E26)))*LN(D65/(1-D65))+((1-2*E25)*(LN((1-E25)/E25)))^-1*LN((((D27-D26)/(E27-D27))*((E26-D26)/(E27-E26)))/((F26-D26)/(E27-F26))^2)*(D65-0.5)*LN(D65/(1-D65))))^2/((E27-D26)*EXP(LN((F26-D26)/(E27-F26))+(1/2)*(LN((1-E25)/E25))^-1*LN(((D27-D26)/(E27-D27))/((E26-D26)/(E27-E26)))*LN(D65/(1-D65))+((1-2*E25)*(LN((1-E25)/E25)))^-1*LN((((D27-D26)/(E27-D27))*((E26-D26)/(E27-E26)))/((F26-D26)/(E27-F26))^2)*(D65-0.5)*LN(D65/(1-D65)))),NA())))))</f>
        <v>2.8809506050636879E-2</v>
      </c>
      <c r="H65" s="71">
        <v>29</v>
      </c>
      <c r="I65" s="68">
        <f t="shared" si="1"/>
        <v>27.300655537354409</v>
      </c>
      <c r="J65" s="69">
        <f t="shared" si="2"/>
        <v>31</v>
      </c>
      <c r="K65" s="70">
        <f t="shared" si="3"/>
        <v>2.9555207086174907E-2</v>
      </c>
      <c r="M65"/>
    </row>
    <row r="66" spans="4:13" x14ac:dyDescent="0.35">
      <c r="D66" s="49">
        <f>IF(F27&lt;&gt;"",NA(),(ROW()-ROW(D40))/100)</f>
        <v>0.26</v>
      </c>
      <c r="E66" s="50">
        <f>IF(F27&lt;&gt;"",NA(),IF(F25="u",F26+(1/2)*(LN((1-E25)/E25))^-1*(D27-E26)*LN(D66/(1-D66))+((1-2*E25)*(LN((1-E25)/E25)))^-1*(1-2*(F26-E26)/(D27-E26))*(D27-E26)*(D66-0.5)*LN(D66/(1-D66)),IF(F25="sl",D26+EXP(LN(F26-D26)+(1/2)*(LN((1-E25)/E25))^-1*LN((D27-D26)/(E26-D26))*LN(D66/(1-D66))+((1-2*E25)*(LN((1-E25)/E25)))^-1*LN(((D27-D26)*(E26-D26))/(F26-D26)^2)*(D66-0.5)*LN(D66/(1-D66))),IF(F25="su",E27-EXP(-(-LN(E27-F26)-(1/2)*(LN((1-E25)/E25))^-1*LN((E27-D27)/(E27-E26))*LN(D66/(1-D66))-((1-2*E25)*(LN((1-E25)/E25)))^-1*LN(((E27-D27)*(E27-E26))/(E27-F26)^2)*(D66-0.5)*LN(D66/(1-D66)))),IF(F25="b",(D26+E27*EXP(LN((F26-D26)/(E27-F26))+(1/2)*(LN((1-E25)/E25))^-1*LN(((D27-D26)/(E27-D27))/((E26-D26)/(E27-E26)))*LN(D66/(1-D66))+((1-2*E25)*(LN((1-E25)/E25)))^-1*LN((((D27-D26)/(E27-D27))*((E26-D26)/(E27-E26)))/((F26-D26)/(E27-F26))^2)*(D66-0.5)*LN(D66/(1-D66))))/(1+EXP(LN((F26-D26)/(E27-F26))+(1/2)*(LN((1-E25)/E25))^-1*LN(((D27-D26)/(E27-D27))/((E26-D26)/(E27-E26)))*LN(D66/(1-D66))+((1-2*E25)*(LN((1-E25)/E25)))^-1*LN((((D27-D26)/(E27-D27))*((E26-D26)/(E27-E26)))/((F26-D26)/(E27-F26))^2)*(D66-0.5)*LN(D66/(1-D66)))),NA())))))</f>
        <v>26.907306325663424</v>
      </c>
      <c r="F66" s="51">
        <f>IF(F27&lt;&gt;"",NA(),IF(F25="u",((1/2)*(LN((1-E25)/E25))^-1*(D27-E26)/(D66*(1-D66))+((1-2*E25)*(LN((1-E25)/E25)))^-1*(1-2*(F26-E26)/(D27-E26))*(D27-E26)*((D66-0.5)/(D66*(1-D66))+LN(D66/(1-D66))))^(-1),IF(F25="sl",((1/2)*(LN((1-E25)/E25))^-1*LN((D27-D26)/(E26-D26))/(D66*(1-D66))+((1-2*E25)*(LN((1-E25)/E25)))^-1*LN(((D27-D26)*(E26-D26))/(F26-D26)^2)*((D66-0.5)/(D66*(1-D66))+LN(D66/(1-D66))))^(-1)*EXP(-(LN(F26-D26)+(1/2)*(LN((1-E25)/E25))^-1*LN((D27-D26)/(E26-D26))*LN(D66/(1-D66))+((1-2*E25)*(LN((1-E25)/E25)))^-1*LN(((D27-D26)*(E26-D26))/(F26-D26)^2)*(D66-0.5)*LN(D66/(1-D66)))),IF(F25="su",(-(1/2)*(LN((1-E25)/E25))^-1*LN((E27-D27)/(E27-E26))/(D66*(1-D66))-((1-2*E25)*(LN((1-E25)/E25)))^-1*LN(((E27-D27)*(E27-E26))/(E27-F26)^2)*((D66-0.5)/(D66*(1-D66))+LN(D66/(1-D66))))^(-1)*EXP((-LN(E27-F26)-(1/2)*(LN((1-E25)/E25))^-1*LN((E27-D27)/(E27-E26))*LN(D66/(1-D66))-((1-2*E25)*(LN((1-E25)/E25)))^-1*LN(((E27-D27)*(E27-E26))/(E27-F26)^2)*(D66-0.5)*LN(D66/(1-D66)))),IF(F25="b",((1/2)*(LN((1-E25)/E25))^-1*LN(((D27-D26)/(E27-D27))/((E26-D26)/(E27-E26)))/(D66*(1-D66))+((1-2*E25)*(LN((1-E25)/E25)))^-1*LN((((D27-D26)/(E27-D27))*((E26-D26)/(E27-E26)))/((F26-D26)/(E27-F26))^2)*((D66-0.5)/(D66*(1-D66))+LN(D66/(1-D66))))^(-1)*(1+EXP(LN((F26-D26)/(E27-F26))+(1/2)*(LN((1-E25)/E25))^-1*LN(((D27-D26)/(E27-D27))/((E26-D26)/(E27-E26)))*LN(D66/(1-D66))+((1-2*E25)*(LN((1-E25)/E25)))^-1*LN((((D27-D26)/(E27-D27))*((E26-D26)/(E27-E26)))/((F26-D26)/(E27-F26))^2)*(D66-0.5)*LN(D66/(1-D66))))^2/((E27-D26)*EXP(LN((F26-D26)/(E27-F26))+(1/2)*(LN((1-E25)/E25))^-1*LN(((D27-D26)/(E27-D27))/((E26-D26)/(E27-E26)))*LN(D66/(1-D66))+((1-2*E25)*(LN((1-E25)/E25)))^-1*LN((((D27-D26)/(E27-D27))*((E26-D26)/(E27-E26)))/((F26-D26)/(E27-F26))^2)*(D66-0.5)*LN(D66/(1-D66)))),NA())))))</f>
        <v>2.9186205646427363E-2</v>
      </c>
      <c r="H66" s="71">
        <v>30</v>
      </c>
      <c r="I66" s="68">
        <f t="shared" si="1"/>
        <v>28.570715967297495</v>
      </c>
      <c r="J66" s="69">
        <f t="shared" si="2"/>
        <v>34</v>
      </c>
      <c r="K66" s="70">
        <f t="shared" si="3"/>
        <v>3.0344876559679445E-2</v>
      </c>
      <c r="M66"/>
    </row>
    <row r="67" spans="4:13" x14ac:dyDescent="0.35">
      <c r="D67" s="49">
        <f>IF(F27&lt;&gt;"",NA(),(ROW()-ROW(D40))/100)</f>
        <v>0.27</v>
      </c>
      <c r="E67" s="50">
        <f>IF(F27&lt;&gt;"",NA(),IF(F25="u",F26+(1/2)*(LN((1-E25)/E25))^-1*(D27-E26)*LN(D67/(1-D67))+((1-2*E25)*(LN((1-E25)/E25)))^-1*(1-2*(F26-E26)/(D27-E26))*(D27-E26)*(D67-0.5)*LN(D67/(1-D67)),IF(F25="sl",D26+EXP(LN(F26-D26)+(1/2)*(LN((1-E25)/E25))^-1*LN((D27-D26)/(E26-D26))*LN(D67/(1-D67))+((1-2*E25)*(LN((1-E25)/E25)))^-1*LN(((D27-D26)*(E26-D26))/(F26-D26)^2)*(D67-0.5)*LN(D67/(1-D67))),IF(F25="su",E27-EXP(-(-LN(E27-F26)-(1/2)*(LN((1-E25)/E25))^-1*LN((E27-D27)/(E27-E26))*LN(D67/(1-D67))-((1-2*E25)*(LN((1-E25)/E25)))^-1*LN(((E27-D27)*(E27-E26))/(E27-F26)^2)*(D67-0.5)*LN(D67/(1-D67)))),IF(F25="b",(D26+E27*EXP(LN((F26-D26)/(E27-F26))+(1/2)*(LN((1-E25)/E25))^-1*LN(((D27-D26)/(E27-D27))/((E26-D26)/(E27-E26)))*LN(D67/(1-D67))+((1-2*E25)*(LN((1-E25)/E25)))^-1*LN((((D27-D26)/(E27-D27))*((E26-D26)/(E27-E26)))/((F26-D26)/(E27-F26))^2)*(D67-0.5)*LN(D67/(1-D67))))/(1+EXP(LN((F26-D26)/(E27-F26))+(1/2)*(LN((1-E25)/E25))^-1*LN(((D27-D26)/(E27-D27))/((E26-D26)/(E27-E26)))*LN(D67/(1-D67))+((1-2*E25)*(LN((1-E25)/E25)))^-1*LN((((D27-D26)/(E27-D27))*((E26-D26)/(E27-E26)))/((F26-D26)/(E27-F26))^2)*(D67-0.5)*LN(D67/(1-D67)))),NA())))))</f>
        <v>27.247987859305795</v>
      </c>
      <c r="F67" s="51">
        <f>IF(F27&lt;&gt;"",NA(),IF(F25="u",((1/2)*(LN((1-E25)/E25))^-1*(D27-E26)/(D67*(1-D67))+((1-2*E25)*(LN((1-E25)/E25)))^-1*(1-2*(F26-E26)/(D27-E26))*(D27-E26)*((D67-0.5)/(D67*(1-D67))+LN(D67/(1-D67))))^(-1),IF(F25="sl",((1/2)*(LN((1-E25)/E25))^-1*LN((D27-D26)/(E26-D26))/(D67*(1-D67))+((1-2*E25)*(LN((1-E25)/E25)))^-1*LN(((D27-D26)*(E26-D26))/(F26-D26)^2)*((D67-0.5)/(D67*(1-D67))+LN(D67/(1-D67))))^(-1)*EXP(-(LN(F26-D26)+(1/2)*(LN((1-E25)/E25))^-1*LN((D27-D26)/(E26-D26))*LN(D67/(1-D67))+((1-2*E25)*(LN((1-E25)/E25)))^-1*LN(((D27-D26)*(E26-D26))/(F26-D26)^2)*(D67-0.5)*LN(D67/(1-D67)))),IF(F25="su",(-(1/2)*(LN((1-E25)/E25))^-1*LN((E27-D27)/(E27-E26))/(D67*(1-D67))-((1-2*E25)*(LN((1-E25)/E25)))^-1*LN(((E27-D27)*(E27-E26))/(E27-F26)^2)*((D67-0.5)/(D67*(1-D67))+LN(D67/(1-D67))))^(-1)*EXP((-LN(E27-F26)-(1/2)*(LN((1-E25)/E25))^-1*LN((E27-D27)/(E27-E26))*LN(D67/(1-D67))-((1-2*E25)*(LN((1-E25)/E25)))^-1*LN(((E27-D27)*(E27-E26))/(E27-F26)^2)*(D67-0.5)*LN(D67/(1-D67)))),IF(F25="b",((1/2)*(LN((1-E25)/E25))^-1*LN(((D27-D26)/(E27-D27))/((E26-D26)/(E27-E26)))/(D67*(1-D67))+((1-2*E25)*(LN((1-E25)/E25)))^-1*LN((((D27-D26)/(E27-D27))*((E26-D26)/(E27-E26)))/((F26-D26)/(E27-F26))^2)*((D67-0.5)/(D67*(1-D67))+LN(D67/(1-D67))))^(-1)*(1+EXP(LN((F26-D26)/(E27-F26))+(1/2)*(LN((1-E25)/E25))^-1*LN(((D27-D26)/(E27-D27))/((E26-D26)/(E27-E26)))*LN(D67/(1-D67))+((1-2*E25)*(LN((1-E25)/E25)))^-1*LN((((D27-D26)/(E27-D27))*((E26-D26)/(E27-E26)))/((F26-D26)/(E27-F26))^2)*(D67-0.5)*LN(D67/(1-D67))))^2/((E27-D26)*EXP(LN((F26-D26)/(E27-F26))+(1/2)*(LN((1-E25)/E25))^-1*LN(((D27-D26)/(E27-D27))/((E26-D26)/(E27-E26)))*LN(D67/(1-D67))+((1-2*E25)*(LN((1-E25)/E25)))^-1*LN((((D27-D26)/(E27-D27))*((E26-D26)/(E27-E26)))/((F26-D26)/(E27-F26))^2)*(D67-0.5)*LN(D67/(1-D67)))),NA())))))</f>
        <v>2.9511942799407442E-2</v>
      </c>
      <c r="H67" s="71">
        <v>31</v>
      </c>
      <c r="I67" s="68">
        <f t="shared" si="1"/>
        <v>29.840776397240582</v>
      </c>
      <c r="J67" s="69">
        <f t="shared" si="2"/>
        <v>38</v>
      </c>
      <c r="K67" s="70">
        <f t="shared" si="3"/>
        <v>3.0546370568808583E-2</v>
      </c>
      <c r="M67"/>
    </row>
    <row r="68" spans="4:13" x14ac:dyDescent="0.35">
      <c r="D68" s="49">
        <f>IF(F27&lt;&gt;"",NA(),(ROW()-ROW(D40))/100)</f>
        <v>0.28000000000000003</v>
      </c>
      <c r="E68" s="50">
        <f>IF(F27&lt;&gt;"",NA(),IF(F25="u",F26+(1/2)*(LN((1-E25)/E25))^-1*(D27-E26)*LN(D68/(1-D68))+((1-2*E25)*(LN((1-E25)/E25)))^-1*(1-2*(F26-E26)/(D27-E26))*(D27-E26)*(D68-0.5)*LN(D68/(1-D68)),IF(F25="sl",D26+EXP(LN(F26-D26)+(1/2)*(LN((1-E25)/E25))^-1*LN((D27-D26)/(E26-D26))*LN(D68/(1-D68))+((1-2*E25)*(LN((1-E25)/E25)))^-1*LN(((D27-D26)*(E26-D26))/(F26-D26)^2)*(D68-0.5)*LN(D68/(1-D68))),IF(F25="su",E27-EXP(-(-LN(E27-F26)-(1/2)*(LN((1-E25)/E25))^-1*LN((E27-D27)/(E27-E26))*LN(D68/(1-D68))-((1-2*E25)*(LN((1-E25)/E25)))^-1*LN(((E27-D27)*(E27-E26))/(E27-F26)^2)*(D68-0.5)*LN(D68/(1-D68)))),IF(F25="b",(D26+E27*EXP(LN((F26-D26)/(E27-F26))+(1/2)*(LN((1-E25)/E25))^-1*LN(((D27-D26)/(E27-D27))/((E26-D26)/(E27-E26)))*LN(D68/(1-D68))+((1-2*E25)*(LN((1-E25)/E25)))^-1*LN((((D27-D26)/(E27-D27))*((E26-D26)/(E27-E26)))/((F26-D26)/(E27-F26))^2)*(D68-0.5)*LN(D68/(1-D68))))/(1+EXP(LN((F26-D26)/(E27-F26))+(1/2)*(LN((1-E25)/E25))^-1*LN(((D27-D26)/(E27-D27))/((E26-D26)/(E27-E26)))*LN(D68/(1-D68))+((1-2*E25)*(LN((1-E25)/E25)))^-1*LN((((D27-D26)/(E27-D27))*((E26-D26)/(E27-E26)))/((F26-D26)/(E27-F26))^2)*(D68-0.5)*LN(D68/(1-D68)))),NA())))))</f>
        <v>27.585208211963447</v>
      </c>
      <c r="F68" s="51">
        <f>IF(F27&lt;&gt;"",NA(),IF(F25="u",((1/2)*(LN((1-E25)/E25))^-1*(D27-E26)/(D68*(1-D68))+((1-2*E25)*(LN((1-E25)/E25)))^-1*(1-2*(F26-E26)/(D27-E26))*(D27-E26)*((D68-0.5)/(D68*(1-D68))+LN(D68/(1-D68))))^(-1),IF(F25="sl",((1/2)*(LN((1-E25)/E25))^-1*LN((D27-D26)/(E26-D26))/(D68*(1-D68))+((1-2*E25)*(LN((1-E25)/E25)))^-1*LN(((D27-D26)*(E26-D26))/(F26-D26)^2)*((D68-0.5)/(D68*(1-D68))+LN(D68/(1-D68))))^(-1)*EXP(-(LN(F26-D26)+(1/2)*(LN((1-E25)/E25))^-1*LN((D27-D26)/(E26-D26))*LN(D68/(1-D68))+((1-2*E25)*(LN((1-E25)/E25)))^-1*LN(((D27-D26)*(E26-D26))/(F26-D26)^2)*(D68-0.5)*LN(D68/(1-D68)))),IF(F25="su",(-(1/2)*(LN((1-E25)/E25))^-1*LN((E27-D27)/(E27-E26))/(D68*(1-D68))-((1-2*E25)*(LN((1-E25)/E25)))^-1*LN(((E27-D27)*(E27-E26))/(E27-F26)^2)*((D68-0.5)/(D68*(1-D68))+LN(D68/(1-D68))))^(-1)*EXP((-LN(E27-F26)-(1/2)*(LN((1-E25)/E25))^-1*LN((E27-D27)/(E27-E26))*LN(D68/(1-D68))-((1-2*E25)*(LN((1-E25)/E25)))^-1*LN(((E27-D27)*(E27-E26))/(E27-F26)^2)*(D68-0.5)*LN(D68/(1-D68)))),IF(F25="b",((1/2)*(LN((1-E25)/E25))^-1*LN(((D27-D26)/(E27-D27))/((E26-D26)/(E27-E26)))/(D68*(1-D68))+((1-2*E25)*(LN((1-E25)/E25)))^-1*LN((((D27-D26)/(E27-D27))*((E26-D26)/(E27-E26)))/((F26-D26)/(E27-F26))^2)*((D68-0.5)/(D68*(1-D68))+LN(D68/(1-D68))))^(-1)*(1+EXP(LN((F26-D26)/(E27-F26))+(1/2)*(LN((1-E25)/E25))^-1*LN(((D27-D26)/(E27-D27))/((E26-D26)/(E27-E26)))*LN(D68/(1-D68))+((1-2*E25)*(LN((1-E25)/E25)))^-1*LN((((D27-D26)/(E27-D27))*((E26-D26)/(E27-E26)))/((F26-D26)/(E27-F26))^2)*(D68-0.5)*LN(D68/(1-D68))))^2/((E27-D26)*EXP(LN((F26-D26)/(E27-F26))+(1/2)*(LN((1-E25)/E25))^-1*LN(((D27-D26)/(E27-D27))/((E26-D26)/(E27-E26)))*LN(D68/(1-D68))+((1-2*E25)*(LN((1-E25)/E25)))^-1*LN((((D27-D26)/(E27-D27))*((E26-D26)/(E27-E26)))/((F26-D26)/(E27-F26))^2)*(D68-0.5)*LN(D68/(1-D68)))),NA())))))</f>
        <v>2.9788955164139746E-2</v>
      </c>
      <c r="H68" s="71">
        <v>32</v>
      </c>
      <c r="I68" s="68">
        <f t="shared" si="1"/>
        <v>31.110836827183668</v>
      </c>
      <c r="J68" s="69">
        <f t="shared" si="2"/>
        <v>42</v>
      </c>
      <c r="K68" s="70">
        <f t="shared" si="3"/>
        <v>3.0260349216617154E-2</v>
      </c>
      <c r="M68"/>
    </row>
    <row r="69" spans="4:13" x14ac:dyDescent="0.35">
      <c r="D69" s="49">
        <f>IF(F27&lt;&gt;"",NA(),(ROW()-ROW(D40))/100)</f>
        <v>0.28999999999999998</v>
      </c>
      <c r="E69" s="50">
        <f>IF(F27&lt;&gt;"",NA(),IF(F25="u",F26+(1/2)*(LN((1-E25)/E25))^-1*(D27-E26)*LN(D69/(1-D69))+((1-2*E25)*(LN((1-E25)/E25)))^-1*(1-2*(F26-E26)/(D27-E26))*(D27-E26)*(D69-0.5)*LN(D69/(1-D69)),IF(F25="sl",D26+EXP(LN(F26-D26)+(1/2)*(LN((1-E25)/E25))^-1*LN((D27-D26)/(E26-D26))*LN(D69/(1-D69))+((1-2*E25)*(LN((1-E25)/E25)))^-1*LN(((D27-D26)*(E26-D26))/(F26-D26)^2)*(D69-0.5)*LN(D69/(1-D69))),IF(F25="su",E27-EXP(-(-LN(E27-F26)-(1/2)*(LN((1-E25)/E25))^-1*LN((E27-D27)/(E27-E26))*LN(D69/(1-D69))-((1-2*E25)*(LN((1-E25)/E25)))^-1*LN(((E27-D27)*(E27-E26))/(E27-F26)^2)*(D69-0.5)*LN(D69/(1-D69)))),IF(F25="b",(D26+E27*EXP(LN((F26-D26)/(E27-F26))+(1/2)*(LN((1-E25)/E25))^-1*LN(((D27-D26)/(E27-D27))/((E26-D26)/(E27-E26)))*LN(D69/(1-D69))+((1-2*E25)*(LN((1-E25)/E25)))^-1*LN((((D27-D26)/(E27-D27))*((E26-D26)/(E27-E26)))/((F26-D26)/(E27-F26))^2)*(D69-0.5)*LN(D69/(1-D69))))/(1+EXP(LN((F26-D26)/(E27-F26))+(1/2)*(LN((1-E25)/E25))^-1*LN(((D27-D26)/(E27-D27))/((E26-D26)/(E27-E26)))*LN(D69/(1-D69))+((1-2*E25)*(LN((1-E25)/E25)))^-1*LN((((D27-D26)/(E27-D27))*((E26-D26)/(E27-E26)))/((F26-D26)/(E27-F26))^2)*(D69-0.5)*LN(D69/(1-D69)))),NA())))))</f>
        <v>27.919568633062273</v>
      </c>
      <c r="F69" s="51">
        <f>IF(F27&lt;&gt;"",NA(),IF(F25="u",((1/2)*(LN((1-E25)/E25))^-1*(D27-E26)/(D69*(1-D69))+((1-2*E25)*(LN((1-E25)/E25)))^-1*(1-2*(F26-E26)/(D27-E26))*(D27-E26)*((D69-0.5)/(D69*(1-D69))+LN(D69/(1-D69))))^(-1),IF(F25="sl",((1/2)*(LN((1-E25)/E25))^-1*LN((D27-D26)/(E26-D26))/(D69*(1-D69))+((1-2*E25)*(LN((1-E25)/E25)))^-1*LN(((D27-D26)*(E26-D26))/(F26-D26)^2)*((D69-0.5)/(D69*(1-D69))+LN(D69/(1-D69))))^(-1)*EXP(-(LN(F26-D26)+(1/2)*(LN((1-E25)/E25))^-1*LN((D27-D26)/(E26-D26))*LN(D69/(1-D69))+((1-2*E25)*(LN((1-E25)/E25)))^-1*LN(((D27-D26)*(E26-D26))/(F26-D26)^2)*(D69-0.5)*LN(D69/(1-D69)))),IF(F25="su",(-(1/2)*(LN((1-E25)/E25))^-1*LN((E27-D27)/(E27-E26))/(D69*(1-D69))-((1-2*E25)*(LN((1-E25)/E25)))^-1*LN(((E27-D27)*(E27-E26))/(E27-F26)^2)*((D69-0.5)/(D69*(1-D69))+LN(D69/(1-D69))))^(-1)*EXP((-LN(E27-F26)-(1/2)*(LN((1-E25)/E25))^-1*LN((E27-D27)/(E27-E26))*LN(D69/(1-D69))-((1-2*E25)*(LN((1-E25)/E25)))^-1*LN(((E27-D27)*(E27-E26))/(E27-F26)^2)*(D69-0.5)*LN(D69/(1-D69)))),IF(F25="b",((1/2)*(LN((1-E25)/E25))^-1*LN(((D27-D26)/(E27-D27))/((E26-D26)/(E27-E26)))/(D69*(1-D69))+((1-2*E25)*(LN((1-E25)/E25)))^-1*LN((((D27-D26)/(E27-D27))*((E26-D26)/(E27-E26)))/((F26-D26)/(E27-F26))^2)*((D69-0.5)/(D69*(1-D69))+LN(D69/(1-D69))))^(-1)*(1+EXP(LN((F26-D26)/(E27-F26))+(1/2)*(LN((1-E25)/E25))^-1*LN(((D27-D26)/(E27-D27))/((E26-D26)/(E27-E26)))*LN(D69/(1-D69))+((1-2*E25)*(LN((1-E25)/E25)))^-1*LN((((D27-D26)/(E27-D27))*((E26-D26)/(E27-E26)))/((F26-D26)/(E27-F26))^2)*(D69-0.5)*LN(D69/(1-D69))))^2/((E27-D26)*EXP(LN((F26-D26)/(E27-F26))+(1/2)*(LN((1-E25)/E25))^-1*LN(((D27-D26)/(E27-D27))/((E26-D26)/(E27-E26)))*LN(D69/(1-D69))+((1-2*E25)*(LN((1-E25)/E25)))^-1*LN((((D27-D26)/(E27-D27))*((E26-D26)/(E27-E26)))/((F26-D26)/(E27-F26))^2)*(D69-0.5)*LN(D69/(1-D69)))),NA())))))</f>
        <v>3.0019467244179029E-2</v>
      </c>
      <c r="H69" s="71">
        <v>33</v>
      </c>
      <c r="I69" s="68">
        <f t="shared" si="1"/>
        <v>32.380897257126755</v>
      </c>
      <c r="J69" s="69">
        <f t="shared" si="2"/>
        <v>46</v>
      </c>
      <c r="K69" s="70">
        <f t="shared" si="3"/>
        <v>2.9596983843053447E-2</v>
      </c>
      <c r="M69"/>
    </row>
    <row r="70" spans="4:13" x14ac:dyDescent="0.35">
      <c r="D70" s="49">
        <f>IF(F27&lt;&gt;"",NA(),(ROW()-ROW(D40))/100)</f>
        <v>0.3</v>
      </c>
      <c r="E70" s="50">
        <f>IF(F27&lt;&gt;"",NA(),IF(F25="u",F26+(1/2)*(LN((1-E25)/E25))^-1*(D27-E26)*LN(D70/(1-D70))+((1-2*E25)*(LN((1-E25)/E25)))^-1*(1-2*(F26-E26)/(D27-E26))*(D27-E26)*(D70-0.5)*LN(D70/(1-D70)),IF(F25="sl",D26+EXP(LN(F26-D26)+(1/2)*(LN((1-E25)/E25))^-1*LN((D27-D26)/(E26-D26))*LN(D70/(1-D70))+((1-2*E25)*(LN((1-E25)/E25)))^-1*LN(((D27-D26)*(E26-D26))/(F26-D26)^2)*(D70-0.5)*LN(D70/(1-D70))),IF(F25="su",E27-EXP(-(-LN(E27-F26)-(1/2)*(LN((1-E25)/E25))^-1*LN((E27-D27)/(E27-E26))*LN(D70/(1-D70))-((1-2*E25)*(LN((1-E25)/E25)))^-1*LN(((E27-D27)*(E27-E26))/(E27-F26)^2)*(D70-0.5)*LN(D70/(1-D70)))),IF(F25="b",(D26+E27*EXP(LN((F26-D26)/(E27-F26))+(1/2)*(LN((1-E25)/E25))^-1*LN(((D27-D26)/(E27-D27))/((E26-D26)/(E27-E26)))*LN(D70/(1-D70))+((1-2*E25)*(LN((1-E25)/E25)))^-1*LN((((D27-D26)/(E27-D27))*((E26-D26)/(E27-E26)))/((F26-D26)/(E27-F26))^2)*(D70-0.5)*LN(D70/(1-D70))))/(1+EXP(LN((F26-D26)/(E27-F26))+(1/2)*(LN((1-E25)/E25))^-1*LN(((D27-D26)/(E27-D27))/((E26-D26)/(E27-E26)))*LN(D70/(1-D70))+((1-2*E25)*(LN((1-E25)/E25)))^-1*LN((((D27-D26)/(E27-D27))*((E26-D26)/(E27-E26)))/((F26-D26)/(E27-F26))^2)*(D70-0.5)*LN(D70/(1-D70)))),NA())))))</f>
        <v>28.251617194837557</v>
      </c>
      <c r="F70" s="51">
        <f>IF(F27&lt;&gt;"",NA(),IF(F25="u",((1/2)*(LN((1-E25)/E25))^-1*(D27-E26)/(D70*(1-D70))+((1-2*E25)*(LN((1-E25)/E25)))^-1*(1-2*(F26-E26)/(D27-E26))*(D27-E26)*((D70-0.5)/(D70*(1-D70))+LN(D70/(1-D70))))^(-1),IF(F25="sl",((1/2)*(LN((1-E25)/E25))^-1*LN((D27-D26)/(E26-D26))/(D70*(1-D70))+((1-2*E25)*(LN((1-E25)/E25)))^-1*LN(((D27-D26)*(E26-D26))/(F26-D26)^2)*((D70-0.5)/(D70*(1-D70))+LN(D70/(1-D70))))^(-1)*EXP(-(LN(F26-D26)+(1/2)*(LN((1-E25)/E25))^-1*LN((D27-D26)/(E26-D26))*LN(D70/(1-D70))+((1-2*E25)*(LN((1-E25)/E25)))^-1*LN(((D27-D26)*(E26-D26))/(F26-D26)^2)*(D70-0.5)*LN(D70/(1-D70)))),IF(F25="su",(-(1/2)*(LN((1-E25)/E25))^-1*LN((E27-D27)/(E27-E26))/(D70*(1-D70))-((1-2*E25)*(LN((1-E25)/E25)))^-1*LN(((E27-D27)*(E27-E26))/(E27-F26)^2)*((D70-0.5)/(D70*(1-D70))+LN(D70/(1-D70))))^(-1)*EXP((-LN(E27-F26)-(1/2)*(LN((1-E25)/E25))^-1*LN((E27-D27)/(E27-E26))*LN(D70/(1-D70))-((1-2*E25)*(LN((1-E25)/E25)))^-1*LN(((E27-D27)*(E27-E26))/(E27-F26)^2)*(D70-0.5)*LN(D70/(1-D70)))),IF(F25="b",((1/2)*(LN((1-E25)/E25))^-1*LN(((D27-D26)/(E27-D27))/((E26-D26)/(E27-E26)))/(D70*(1-D70))+((1-2*E25)*(LN((1-E25)/E25)))^-1*LN((((D27-D26)/(E27-D27))*((E26-D26)/(E27-E26)))/((F26-D26)/(E27-F26))^2)*((D70-0.5)/(D70*(1-D70))+LN(D70/(1-D70))))^(-1)*(1+EXP(LN((F26-D26)/(E27-F26))+(1/2)*(LN((1-E25)/E25))^-1*LN(((D27-D26)/(E27-D27))/((E26-D26)/(E27-E26)))*LN(D70/(1-D70))+((1-2*E25)*(LN((1-E25)/E25)))^-1*LN((((D27-D26)/(E27-D27))*((E26-D26)/(E27-E26)))/((F26-D26)/(E27-F26))^2)*(D70-0.5)*LN(D70/(1-D70))))^2/((E27-D26)*EXP(LN((F26-D26)/(E27-F26))+(1/2)*(LN((1-E25)/E25))^-1*LN(((D27-D26)/(E27-D27))/((E26-D26)/(E27-E26)))*LN(D70/(1-D70))+((1-2*E25)*(LN((1-E25)/E25)))^-1*LN((((D27-D26)/(E27-D27))*((E26-D26)/(E27-E26)))/((F26-D26)/(E27-F26))^2)*(D70-0.5)*LN(D70/(1-D70)))),NA())))))</f>
        <v>3.0205675570385251E-2</v>
      </c>
      <c r="H70" s="71">
        <v>34</v>
      </c>
      <c r="I70" s="68">
        <f t="shared" ref="I70:I101" si="4">I69+I$35</f>
        <v>33.650957687069841</v>
      </c>
      <c r="J70" s="69">
        <f t="shared" ref="J70:J101" si="5">LOOKUP( I70, E$37:E$143, H$37:H$143 )</f>
        <v>50</v>
      </c>
      <c r="K70" s="70">
        <f t="shared" ref="K70:K101" si="6">INDEX( F$37:F$143, J70, 1 ) + (( I70 - INDEX( E$37:E$143, J70, 1 )) / ( INDEX( E$37:E$143, J70+1, 1 ) - INDEX( E$37:E$143, J70, 1 ))) * ( INDEX( F$37:F$143, J70 + 1, 1 ) - INDEX( F$37:F$143, J70, 1 ))</f>
        <v>2.8661018568346752E-2</v>
      </c>
      <c r="M70"/>
    </row>
    <row r="71" spans="4:13" x14ac:dyDescent="0.35">
      <c r="D71" s="49">
        <f>IF(F27&lt;&gt;"",NA(),(ROW()-ROW(D40))/100)</f>
        <v>0.31</v>
      </c>
      <c r="E71" s="50">
        <f>IF(F27&lt;&gt;"",NA(),IF(F25="u",F26+(1/2)*(LN((1-E25)/E25))^-1*(D27-E26)*LN(D71/(1-D71))+((1-2*E25)*(LN((1-E25)/E25)))^-1*(1-2*(F26-E26)/(D27-E26))*(D27-E26)*(D71-0.5)*LN(D71/(1-D71)),IF(F25="sl",D26+EXP(LN(F26-D26)+(1/2)*(LN((1-E25)/E25))^-1*LN((D27-D26)/(E26-D26))*LN(D71/(1-D71))+((1-2*E25)*(LN((1-E25)/E25)))^-1*LN(((D27-D26)*(E26-D26))/(F26-D26)^2)*(D71-0.5)*LN(D71/(1-D71))),IF(F25="su",E27-EXP(-(-LN(E27-F26)-(1/2)*(LN((1-E25)/E25))^-1*LN((E27-D27)/(E27-E26))*LN(D71/(1-D71))-((1-2*E25)*(LN((1-E25)/E25)))^-1*LN(((E27-D27)*(E27-E26))/(E27-F26)^2)*(D71-0.5)*LN(D71/(1-D71)))),IF(F25="b",(D26+E27*EXP(LN((F26-D26)/(E27-F26))+(1/2)*(LN((1-E25)/E25))^-1*LN(((D27-D26)/(E27-D27))/((E26-D26)/(E27-E26)))*LN(D71/(1-D71))+((1-2*E25)*(LN((1-E25)/E25)))^-1*LN((((D27-D26)/(E27-D27))*((E26-D26)/(E27-E26)))/((F26-D26)/(E27-F26))^2)*(D71-0.5)*LN(D71/(1-D71))))/(1+EXP(LN((F26-D26)/(E27-F26))+(1/2)*(LN((1-E25)/E25))^-1*LN(((D27-D26)/(E27-D27))/((E26-D26)/(E27-E26)))*LN(D71/(1-D71))+((1-2*E25)*(LN((1-E25)/E25)))^-1*LN((((D27-D26)/(E27-D27))*((E26-D26)/(E27-E26)))/((F26-D26)/(E27-F26))^2)*(D71-0.5)*LN(D71/(1-D71)))),NA())))))</f>
        <v>28.581856488437555</v>
      </c>
      <c r="F71" s="51">
        <f>IF(F27&lt;&gt;"",NA(),IF(F25="u",((1/2)*(LN((1-E25)/E25))^-1*(D27-E26)/(D71*(1-D71))+((1-2*E25)*(LN((1-E25)/E25)))^-1*(1-2*(F26-E26)/(D27-E26))*(D27-E26)*((D71-0.5)/(D71*(1-D71))+LN(D71/(1-D71))))^(-1),IF(F25="sl",((1/2)*(LN((1-E25)/E25))^-1*LN((D27-D26)/(E26-D26))/(D71*(1-D71))+((1-2*E25)*(LN((1-E25)/E25)))^-1*LN(((D27-D26)*(E26-D26))/(F26-D26)^2)*((D71-0.5)/(D71*(1-D71))+LN(D71/(1-D71))))^(-1)*EXP(-(LN(F26-D26)+(1/2)*(LN((1-E25)/E25))^-1*LN((D27-D26)/(E26-D26))*LN(D71/(1-D71))+((1-2*E25)*(LN((1-E25)/E25)))^-1*LN(((D27-D26)*(E26-D26))/(F26-D26)^2)*(D71-0.5)*LN(D71/(1-D71)))),IF(F25="su",(-(1/2)*(LN((1-E25)/E25))^-1*LN((E27-D27)/(E27-E26))/(D71*(1-D71))-((1-2*E25)*(LN((1-E25)/E25)))^-1*LN(((E27-D27)*(E27-E26))/(E27-F26)^2)*((D71-0.5)/(D71*(1-D71))+LN(D71/(1-D71))))^(-1)*EXP((-LN(E27-F26)-(1/2)*(LN((1-E25)/E25))^-1*LN((E27-D27)/(E27-E26))*LN(D71/(1-D71))-((1-2*E25)*(LN((1-E25)/E25)))^-1*LN(((E27-D27)*(E27-E26))/(E27-F26)^2)*(D71-0.5)*LN(D71/(1-D71)))),IF(F25="b",((1/2)*(LN((1-E25)/E25))^-1*LN(((D27-D26)/(E27-D27))/((E26-D26)/(E27-E26)))/(D71*(1-D71))+((1-2*E25)*(LN((1-E25)/E25)))^-1*LN((((D27-D26)/(E27-D27))*((E26-D26)/(E27-E26)))/((F26-D26)/(E27-F26))^2)*((D71-0.5)/(D71*(1-D71))+LN(D71/(1-D71))))^(-1)*(1+EXP(LN((F26-D26)/(E27-F26))+(1/2)*(LN((1-E25)/E25))^-1*LN(((D27-D26)/(E27-D27))/((E26-D26)/(E27-E26)))*LN(D71/(1-D71))+((1-2*E25)*(LN((1-E25)/E25)))^-1*LN((((D27-D26)/(E27-D27))*((E26-D26)/(E27-E26)))/((F26-D26)/(E27-F26))^2)*(D71-0.5)*LN(D71/(1-D71))))^2/((E27-D26)*EXP(LN((F26-D26)/(E27-F26))+(1/2)*(LN((1-E25)/E25))^-1*LN(((D27-D26)/(E27-D27))/((E26-D26)/(E27-E26)))*LN(D71/(1-D71))+((1-2*E25)*(LN((1-E25)/E25)))^-1*LN((((D27-D26)/(E27-D27))*((E26-D26)/(E27-E26)))/((F26-D26)/(E27-F26))^2)*(D71-0.5)*LN(D71/(1-D71)))),NA())))))</f>
        <v>3.0349736407782258E-2</v>
      </c>
      <c r="H71" s="71">
        <v>35</v>
      </c>
      <c r="I71" s="68">
        <f t="shared" si="4"/>
        <v>34.921018117012927</v>
      </c>
      <c r="J71" s="69">
        <f t="shared" si="5"/>
        <v>53</v>
      </c>
      <c r="K71" s="70">
        <f t="shared" si="6"/>
        <v>2.7538749987314984E-2</v>
      </c>
      <c r="M71"/>
    </row>
    <row r="72" spans="4:13" x14ac:dyDescent="0.35">
      <c r="D72" s="49">
        <f>IF(F27&lt;&gt;"",NA(),(ROW()-ROW(D40))/100)</f>
        <v>0.32</v>
      </c>
      <c r="E72" s="50">
        <f>IF(F27&lt;&gt;"",NA(),IF(F25="u",F26+(1/2)*(LN((1-E25)/E25))^-1*(D27-E26)*LN(D72/(1-D72))+((1-2*E25)*(LN((1-E25)/E25)))^-1*(1-2*(F26-E26)/(D27-E26))*(D27-E26)*(D72-0.5)*LN(D72/(1-D72)),IF(F25="sl",D26+EXP(LN(F26-D26)+(1/2)*(LN((1-E25)/E25))^-1*LN((D27-D26)/(E26-D26))*LN(D72/(1-D72))+((1-2*E25)*(LN((1-E25)/E25)))^-1*LN(((D27-D26)*(E26-D26))/(F26-D26)^2)*(D72-0.5)*LN(D72/(1-D72))),IF(F25="su",E27-EXP(-(-LN(E27-F26)-(1/2)*(LN((1-E25)/E25))^-1*LN((E27-D27)/(E27-E26))*LN(D72/(1-D72))-((1-2*E25)*(LN((1-E25)/E25)))^-1*LN(((E27-D27)*(E27-E26))/(E27-F26)^2)*(D72-0.5)*LN(D72/(1-D72)))),IF(F25="b",(D26+E27*EXP(LN((F26-D26)/(E27-F26))+(1/2)*(LN((1-E25)/E25))^-1*LN(((D27-D26)/(E27-D27))/((E26-D26)/(E27-E26)))*LN(D72/(1-D72))+((1-2*E25)*(LN((1-E25)/E25)))^-1*LN((((D27-D26)/(E27-D27))*((E26-D26)/(E27-E26)))/((F26-D26)/(E27-F26))^2)*(D72-0.5)*LN(D72/(1-D72))))/(1+EXP(LN((F26-D26)/(E27-F26))+(1/2)*(LN((1-E25)/E25))^-1*LN(((D27-D26)/(E27-D27))/((E26-D26)/(E27-E26)))*LN(D72/(1-D72))+((1-2*E25)*(LN((1-E25)/E25)))^-1*LN((((D27-D26)/(E27-D27))*((E26-D26)/(E27-E26)))/((F26-D26)/(E27-F26))^2)*(D72-0.5)*LN(D72/(1-D72)))),NA())))))</f>
        <v>28.910750120772285</v>
      </c>
      <c r="F72" s="51">
        <f>IF(F27&lt;&gt;"",NA(),IF(F25="u",((1/2)*(LN((1-E25)/E25))^-1*(D27-E26)/(D72*(1-D72))+((1-2*E25)*(LN((1-E25)/E25)))^-1*(1-2*(F26-E26)/(D27-E26))*(D27-E26)*((D72-0.5)/(D72*(1-D72))+LN(D72/(1-D72))))^(-1),IF(F25="sl",((1/2)*(LN((1-E25)/E25))^-1*LN((D27-D26)/(E26-D26))/(D72*(1-D72))+((1-2*E25)*(LN((1-E25)/E25)))^-1*LN(((D27-D26)*(E26-D26))/(F26-D26)^2)*((D72-0.5)/(D72*(1-D72))+LN(D72/(1-D72))))^(-1)*EXP(-(LN(F26-D26)+(1/2)*(LN((1-E25)/E25))^-1*LN((D27-D26)/(E26-D26))*LN(D72/(1-D72))+((1-2*E25)*(LN((1-E25)/E25)))^-1*LN(((D27-D26)*(E26-D26))/(F26-D26)^2)*(D72-0.5)*LN(D72/(1-D72)))),IF(F25="su",(-(1/2)*(LN((1-E25)/E25))^-1*LN((E27-D27)/(E27-E26))/(D72*(1-D72))-((1-2*E25)*(LN((1-E25)/E25)))^-1*LN(((E27-D27)*(E27-E26))/(E27-F26)^2)*((D72-0.5)/(D72*(1-D72))+LN(D72/(1-D72))))^(-1)*EXP((-LN(E27-F26)-(1/2)*(LN((1-E25)/E25))^-1*LN((E27-D27)/(E27-E26))*LN(D72/(1-D72))-((1-2*E25)*(LN((1-E25)/E25)))^-1*LN(((E27-D27)*(E27-E26))/(E27-F26)^2)*(D72-0.5)*LN(D72/(1-D72)))),IF(F25="b",((1/2)*(LN((1-E25)/E25))^-1*LN(((D27-D26)/(E27-D27))/((E26-D26)/(E27-E26)))/(D72*(1-D72))+((1-2*E25)*(LN((1-E25)/E25)))^-1*LN((((D27-D26)/(E27-D27))*((E26-D26)/(E27-E26)))/((F26-D26)/(E27-F26))^2)*((D72-0.5)/(D72*(1-D72))+LN(D72/(1-D72))))^(-1)*(1+EXP(LN((F26-D26)/(E27-F26))+(1/2)*(LN((1-E25)/E25))^-1*LN(((D27-D26)/(E27-D27))/((E26-D26)/(E27-E26)))*LN(D72/(1-D72))+((1-2*E25)*(LN((1-E25)/E25)))^-1*LN((((D27-D26)/(E27-D27))*((E26-D26)/(E27-E26)))/((F26-D26)/(E27-F26))^2)*(D72-0.5)*LN(D72/(1-D72))))^2/((E27-D26)*EXP(LN((F26-D26)/(E27-F26))+(1/2)*(LN((1-E25)/E25))^-1*LN(((D27-D26)/(E27-D27))/((E26-D26)/(E27-E26)))*LN(D72/(1-D72))+((1-2*E25)*(LN((1-E25)/E25)))^-1*LN((((D27-D26)/(E27-D27))*((E26-D26)/(E27-E26)))/((F26-D26)/(E27-F26))^2)*(D72-0.5)*LN(D72/(1-D72)))),NA())))))</f>
        <v>3.0453755717340728E-2</v>
      </c>
      <c r="H72" s="71">
        <v>36</v>
      </c>
      <c r="I72" s="68">
        <f t="shared" si="4"/>
        <v>36.191078546956014</v>
      </c>
      <c r="J72" s="69">
        <f t="shared" si="5"/>
        <v>57</v>
      </c>
      <c r="K72" s="70">
        <f t="shared" si="6"/>
        <v>2.6300675271713401E-2</v>
      </c>
      <c r="M72"/>
    </row>
    <row r="73" spans="4:13" x14ac:dyDescent="0.35">
      <c r="D73" s="49">
        <f>IF(F27&lt;&gt;"",NA(),(ROW()-ROW(D40))/100)</f>
        <v>0.33</v>
      </c>
      <c r="E73" s="50">
        <f>IF(F27&lt;&gt;"",NA(),IF(F25="u",F26+(1/2)*(LN((1-E25)/E25))^-1*(D27-E26)*LN(D73/(1-D73))+((1-2*E25)*(LN((1-E25)/E25)))^-1*(1-2*(F26-E26)/(D27-E26))*(D27-E26)*(D73-0.5)*LN(D73/(1-D73)),IF(F25="sl",D26+EXP(LN(F26-D26)+(1/2)*(LN((1-E25)/E25))^-1*LN((D27-D26)/(E26-D26))*LN(D73/(1-D73))+((1-2*E25)*(LN((1-E25)/E25)))^-1*LN(((D27-D26)*(E26-D26))/(F26-D26)^2)*(D73-0.5)*LN(D73/(1-D73))),IF(F25="su",E27-EXP(-(-LN(E27-F26)-(1/2)*(LN((1-E25)/E25))^-1*LN((E27-D27)/(E27-E26))*LN(D73/(1-D73))-((1-2*E25)*(LN((1-E25)/E25)))^-1*LN(((E27-D27)*(E27-E26))/(E27-F26)^2)*(D73-0.5)*LN(D73/(1-D73)))),IF(F25="b",(D26+E27*EXP(LN((F26-D26)/(E27-F26))+(1/2)*(LN((1-E25)/E25))^-1*LN(((D27-D26)/(E27-D27))/((E26-D26)/(E27-E26)))*LN(D73/(1-D73))+((1-2*E25)*(LN((1-E25)/E25)))^-1*LN((((D27-D26)/(E27-D27))*((E26-D26)/(E27-E26)))/((F26-D26)/(E27-F26))^2)*(D73-0.5)*LN(D73/(1-D73))))/(1+EXP(LN((F26-D26)/(E27-F26))+(1/2)*(LN((1-E25)/E25))^-1*LN(((D27-D26)/(E27-D27))/((E26-D26)/(E27-E26)))*LN(D73/(1-D73))+((1-2*E25)*(LN((1-E25)/E25)))^-1*LN((((D27-D26)/(E27-D27))*((E26-D26)/(E27-E26)))/((F26-D26)/(E27-F26))^2)*(D73-0.5)*LN(D73/(1-D73)))),NA())))))</f>
        <v>29.238728238809827</v>
      </c>
      <c r="F73" s="51">
        <f>IF(F27&lt;&gt;"",NA(),IF(F25="u",((1/2)*(LN((1-E25)/E25))^-1*(D27-E26)/(D73*(1-D73))+((1-2*E25)*(LN((1-E25)/E25)))^-1*(1-2*(F26-E26)/(D27-E26))*(D27-E26)*((D73-0.5)/(D73*(1-D73))+LN(D73/(1-D73))))^(-1),IF(F25="sl",((1/2)*(LN((1-E25)/E25))^-1*LN((D27-D26)/(E26-D26))/(D73*(1-D73))+((1-2*E25)*(LN((1-E25)/E25)))^-1*LN(((D27-D26)*(E26-D26))/(F26-D26)^2)*((D73-0.5)/(D73*(1-D73))+LN(D73/(1-D73))))^(-1)*EXP(-(LN(F26-D26)+(1/2)*(LN((1-E25)/E25))^-1*LN((D27-D26)/(E26-D26))*LN(D73/(1-D73))+((1-2*E25)*(LN((1-E25)/E25)))^-1*LN(((D27-D26)*(E26-D26))/(F26-D26)^2)*(D73-0.5)*LN(D73/(1-D73)))),IF(F25="su",(-(1/2)*(LN((1-E25)/E25))^-1*LN((E27-D27)/(E27-E26))/(D73*(1-D73))-((1-2*E25)*(LN((1-E25)/E25)))^-1*LN(((E27-D27)*(E27-E26))/(E27-F26)^2)*((D73-0.5)/(D73*(1-D73))+LN(D73/(1-D73))))^(-1)*EXP((-LN(E27-F26)-(1/2)*(LN((1-E25)/E25))^-1*LN((E27-D27)/(E27-E26))*LN(D73/(1-D73))-((1-2*E25)*(LN((1-E25)/E25)))^-1*LN(((E27-D27)*(E27-E26))/(E27-F26)^2)*(D73-0.5)*LN(D73/(1-D73)))),IF(F25="b",((1/2)*(LN((1-E25)/E25))^-1*LN(((D27-D26)/(E27-D27))/((E26-D26)/(E27-E26)))/(D73*(1-D73))+((1-2*E25)*(LN((1-E25)/E25)))^-1*LN((((D27-D26)/(E27-D27))*((E26-D26)/(E27-E26)))/((F26-D26)/(E27-F26))^2)*((D73-0.5)/(D73*(1-D73))+LN(D73/(1-D73))))^(-1)*(1+EXP(LN((F26-D26)/(E27-F26))+(1/2)*(LN((1-E25)/E25))^-1*LN(((D27-D26)/(E27-D27))/((E26-D26)/(E27-E26)))*LN(D73/(1-D73))+((1-2*E25)*(LN((1-E25)/E25)))^-1*LN((((D27-D26)/(E27-D27))*((E26-D26)/(E27-E26)))/((F26-D26)/(E27-F26))^2)*(D73-0.5)*LN(D73/(1-D73))))^2/((E27-D26)*EXP(LN((F26-D26)/(E27-F26))+(1/2)*(LN((1-E25)/E25))^-1*LN(((D27-D26)/(E27-D27))/((E26-D26)/(E27-E26)))*LN(D73/(1-D73))+((1-2*E25)*(LN((1-E25)/E25)))^-1*LN((((D27-D26)/(E27-D27))*((E26-D26)/(E27-E26)))/((F26-D26)/(E27-F26))^2)*(D73-0.5)*LN(D73/(1-D73)))),NA())))))</f>
        <v>3.0519781113597991E-2</v>
      </c>
      <c r="H73" s="71">
        <v>37</v>
      </c>
      <c r="I73" s="68">
        <f t="shared" si="4"/>
        <v>37.4611389768991</v>
      </c>
      <c r="J73" s="69">
        <f t="shared" si="5"/>
        <v>60</v>
      </c>
      <c r="K73" s="70">
        <f t="shared" si="6"/>
        <v>2.4998728394135864E-2</v>
      </c>
      <c r="M73"/>
    </row>
    <row r="74" spans="4:13" x14ac:dyDescent="0.35">
      <c r="D74" s="49">
        <f>IF(F27&lt;&gt;"",NA(),(ROW()-ROW(D40))/100)</f>
        <v>0.34</v>
      </c>
      <c r="E74" s="50">
        <f>IF(F27&lt;&gt;"",NA(),IF(F25="u",F26+(1/2)*(LN((1-E25)/E25))^-1*(D27-E26)*LN(D74/(1-D74))+((1-2*E25)*(LN((1-E25)/E25)))^-1*(1-2*(F26-E26)/(D27-E26))*(D27-E26)*(D74-0.5)*LN(D74/(1-D74)),IF(F25="sl",D26+EXP(LN(F26-D26)+(1/2)*(LN((1-E25)/E25))^-1*LN((D27-D26)/(E26-D26))*LN(D74/(1-D74))+((1-2*E25)*(LN((1-E25)/E25)))^-1*LN(((D27-D26)*(E26-D26))/(F26-D26)^2)*(D74-0.5)*LN(D74/(1-D74))),IF(F25="su",E27-EXP(-(-LN(E27-F26)-(1/2)*(LN((1-E25)/E25))^-1*LN((E27-D27)/(E27-E26))*LN(D74/(1-D74))-((1-2*E25)*(LN((1-E25)/E25)))^-1*LN(((E27-D27)*(E27-E26))/(E27-F26)^2)*(D74-0.5)*LN(D74/(1-D74)))),IF(F25="b",(D26+E27*EXP(LN((F26-D26)/(E27-F26))+(1/2)*(LN((1-E25)/E25))^-1*LN(((D27-D26)/(E27-D27))/((E26-D26)/(E27-E26)))*LN(D74/(1-D74))+((1-2*E25)*(LN((1-E25)/E25)))^-1*LN((((D27-D26)/(E27-D27))*((E26-D26)/(E27-E26)))/((F26-D26)/(E27-F26))^2)*(D74-0.5)*LN(D74/(1-D74))))/(1+EXP(LN((F26-D26)/(E27-F26))+(1/2)*(LN((1-E25)/E25))^-1*LN(((D27-D26)/(E27-D27))/((E26-D26)/(E27-E26)))*LN(D74/(1-D74))+((1-2*E25)*(LN((1-E25)/E25)))^-1*LN((((D27-D26)/(E27-D27))*((E26-D26)/(E27-E26)))/((F26-D26)/(E27-F26))^2)*(D74-0.5)*LN(D74/(1-D74)))),NA())))))</f>
        <v>29.566192260665854</v>
      </c>
      <c r="F74" s="51">
        <f>IF(F27&lt;&gt;"",NA(),IF(F25="u",((1/2)*(LN((1-E25)/E25))^-1*(D27-E26)/(D74*(1-D74))+((1-2*E25)*(LN((1-E25)/E25)))^-1*(1-2*(F26-E26)/(D27-E26))*(D27-E26)*((D74-0.5)/(D74*(1-D74))+LN(D74/(1-D74))))^(-1),IF(F25="sl",((1/2)*(LN((1-E25)/E25))^-1*LN((D27-D26)/(E26-D26))/(D74*(1-D74))+((1-2*E25)*(LN((1-E25)/E25)))^-1*LN(((D27-D26)*(E26-D26))/(F26-D26)^2)*((D74-0.5)/(D74*(1-D74))+LN(D74/(1-D74))))^(-1)*EXP(-(LN(F26-D26)+(1/2)*(LN((1-E25)/E25))^-1*LN((D27-D26)/(E26-D26))*LN(D74/(1-D74))+((1-2*E25)*(LN((1-E25)/E25)))^-1*LN(((D27-D26)*(E26-D26))/(F26-D26)^2)*(D74-0.5)*LN(D74/(1-D74)))),IF(F25="su",(-(1/2)*(LN((1-E25)/E25))^-1*LN((E27-D27)/(E27-E26))/(D74*(1-D74))-((1-2*E25)*(LN((1-E25)/E25)))^-1*LN(((E27-D27)*(E27-E26))/(E27-F26)^2)*((D74-0.5)/(D74*(1-D74))+LN(D74/(1-D74))))^(-1)*EXP((-LN(E27-F26)-(1/2)*(LN((1-E25)/E25))^-1*LN((E27-D27)/(E27-E26))*LN(D74/(1-D74))-((1-2*E25)*(LN((1-E25)/E25)))^-1*LN(((E27-D27)*(E27-E26))/(E27-F26)^2)*(D74-0.5)*LN(D74/(1-D74)))),IF(F25="b",((1/2)*(LN((1-E25)/E25))^-1*LN(((D27-D26)/(E27-D27))/((E26-D26)/(E27-E26)))/(D74*(1-D74))+((1-2*E25)*(LN((1-E25)/E25)))^-1*LN((((D27-D26)/(E27-D27))*((E26-D26)/(E27-E26)))/((F26-D26)/(E27-F26))^2)*((D74-0.5)/(D74*(1-D74))+LN(D74/(1-D74))))^(-1)*(1+EXP(LN((F26-D26)/(E27-F26))+(1/2)*(LN((1-E25)/E25))^-1*LN(((D27-D26)/(E27-D27))/((E26-D26)/(E27-E26)))*LN(D74/(1-D74))+((1-2*E25)*(LN((1-E25)/E25)))^-1*LN((((D27-D26)/(E27-D27))*((E26-D26)/(E27-E26)))/((F26-D26)/(E27-F26))^2)*(D74-0.5)*LN(D74/(1-D74))))^2/((E27-D26)*EXP(LN((F26-D26)/(E27-F26))+(1/2)*(LN((1-E25)/E25))^-1*LN(((D27-D26)/(E27-D27))/((E26-D26)/(E27-E26)))*LN(D74/(1-D74))+((1-2*E25)*(LN((1-E25)/E25)))^-1*LN((((D27-D26)/(E27-D27))*((E26-D26)/(E27-E26)))/((F26-D26)/(E27-F26))^2)*(D74-0.5)*LN(D74/(1-D74)))),NA())))))</f>
        <v>3.0549795575761134E-2</v>
      </c>
      <c r="H74" s="71">
        <v>38</v>
      </c>
      <c r="I74" s="68">
        <f t="shared" si="4"/>
        <v>38.731199406842187</v>
      </c>
      <c r="J74" s="69">
        <f t="shared" si="5"/>
        <v>63</v>
      </c>
      <c r="K74" s="70">
        <f t="shared" si="6"/>
        <v>2.3671363847039804E-2</v>
      </c>
      <c r="M74"/>
    </row>
    <row r="75" spans="4:13" x14ac:dyDescent="0.35">
      <c r="D75" s="49">
        <f>IF(F27&lt;&gt;"",NA(),(ROW()-ROW(D40))/100)</f>
        <v>0.35</v>
      </c>
      <c r="E75" s="50">
        <f>IF(F27&lt;&gt;"",NA(),IF(F25="u",F26+(1/2)*(LN((1-E25)/E25))^-1*(D27-E26)*LN(D75/(1-D75))+((1-2*E25)*(LN((1-E25)/E25)))^-1*(1-2*(F26-E26)/(D27-E26))*(D27-E26)*(D75-0.5)*LN(D75/(1-D75)),IF(F25="sl",D26+EXP(LN(F26-D26)+(1/2)*(LN((1-E25)/E25))^-1*LN((D27-D26)/(E26-D26))*LN(D75/(1-D75))+((1-2*E25)*(LN((1-E25)/E25)))^-1*LN(((D27-D26)*(E26-D26))/(F26-D26)^2)*(D75-0.5)*LN(D75/(1-D75))),IF(F25="su",E27-EXP(-(-LN(E27-F26)-(1/2)*(LN((1-E25)/E25))^-1*LN((E27-D27)/(E27-E26))*LN(D75/(1-D75))-((1-2*E25)*(LN((1-E25)/E25)))^-1*LN(((E27-D27)*(E27-E26))/(E27-F26)^2)*(D75-0.5)*LN(D75/(1-D75)))),IF(F25="b",(D26+E27*EXP(LN((F26-D26)/(E27-F26))+(1/2)*(LN((1-E25)/E25))^-1*LN(((D27-D26)/(E27-D27))/((E26-D26)/(E27-E26)))*LN(D75/(1-D75))+((1-2*E25)*(LN((1-E25)/E25)))^-1*LN((((D27-D26)/(E27-D27))*((E26-D26)/(E27-E26)))/((F26-D26)/(E27-F26))^2)*(D75-0.5)*LN(D75/(1-D75))))/(1+EXP(LN((F26-D26)/(E27-F26))+(1/2)*(LN((1-E25)/E25))^-1*LN(((D27-D26)/(E27-D27))/((E26-D26)/(E27-E26)))*LN(D75/(1-D75))+((1-2*E25)*(LN((1-E25)/E25)))^-1*LN((((D27-D26)/(E27-D27))*((E26-D26)/(E27-E26)))/((F26-D26)/(E27-F26))^2)*(D75-0.5)*LN(D75/(1-D75)))),NA())))))</f>
        <v>29.893518956553205</v>
      </c>
      <c r="F75" s="51">
        <f>IF(F27&lt;&gt;"",NA(),IF(F25="u",((1/2)*(LN((1-E25)/E25))^-1*(D27-E26)/(D75*(1-D75))+((1-2*E25)*(LN((1-E25)/E25)))^-1*(1-2*(F26-E26)/(D27-E26))*(D27-E26)*((D75-0.5)/(D75*(1-D75))+LN(D75/(1-D75))))^(-1),IF(F25="sl",((1/2)*(LN((1-E25)/E25))^-1*LN((D27-D26)/(E26-D26))/(D75*(1-D75))+((1-2*E25)*(LN((1-E25)/E25)))^-1*LN(((D27-D26)*(E26-D26))/(F26-D26)^2)*((D75-0.5)/(D75*(1-D75))+LN(D75/(1-D75))))^(-1)*EXP(-(LN(F26-D26)+(1/2)*(LN((1-E25)/E25))^-1*LN((D27-D26)/(E26-D26))*LN(D75/(1-D75))+((1-2*E25)*(LN((1-E25)/E25)))^-1*LN(((D27-D26)*(E26-D26))/(F26-D26)^2)*(D75-0.5)*LN(D75/(1-D75)))),IF(F25="su",(-(1/2)*(LN((1-E25)/E25))^-1*LN((E27-D27)/(E27-E26))/(D75*(1-D75))-((1-2*E25)*(LN((1-E25)/E25)))^-1*LN(((E27-D27)*(E27-E26))/(E27-F26)^2)*((D75-0.5)/(D75*(1-D75))+LN(D75/(1-D75))))^(-1)*EXP((-LN(E27-F26)-(1/2)*(LN((1-E25)/E25))^-1*LN((E27-D27)/(E27-E26))*LN(D75/(1-D75))-((1-2*E25)*(LN((1-E25)/E25)))^-1*LN(((E27-D27)*(E27-E26))/(E27-F26)^2)*(D75-0.5)*LN(D75/(1-D75)))),IF(F25="b",((1/2)*(LN((1-E25)/E25))^-1*LN(((D27-D26)/(E27-D27))/((E26-D26)/(E27-E26)))/(D75*(1-D75))+((1-2*E25)*(LN((1-E25)/E25)))^-1*LN((((D27-D26)/(E27-D27))*((E26-D26)/(E27-E26)))/((F26-D26)/(E27-F26))^2)*((D75-0.5)/(D75*(1-D75))+LN(D75/(1-D75))))^(-1)*(1+EXP(LN((F26-D26)/(E27-F26))+(1/2)*(LN((1-E25)/E25))^-1*LN(((D27-D26)/(E27-D27))/((E26-D26)/(E27-E26)))*LN(D75/(1-D75))+((1-2*E25)*(LN((1-E25)/E25)))^-1*LN((((D27-D26)/(E27-D27))*((E26-D26)/(E27-E26)))/((F26-D26)/(E27-F26))^2)*(D75-0.5)*LN(D75/(1-D75))))^2/((E27-D26)*EXP(LN((F26-D26)/(E27-F26))+(1/2)*(LN((1-E25)/E25))^-1*LN(((D27-D26)/(E27-D27))/((E26-D26)/(E27-E26)))*LN(D75/(1-D75))+((1-2*E25)*(LN((1-E25)/E25)))^-1*LN((((D27-D26)/(E27-D27))*((E26-D26)/(E27-E26)))/((F26-D26)/(E27-F26))^2)*(D75-0.5)*LN(D75/(1-D75)))),NA())))))</f>
        <v>3.0545712688005291E-2</v>
      </c>
      <c r="H75" s="71">
        <v>39</v>
      </c>
      <c r="I75" s="68">
        <f t="shared" si="4"/>
        <v>40.001259836785273</v>
      </c>
      <c r="J75" s="69">
        <f t="shared" si="5"/>
        <v>66</v>
      </c>
      <c r="K75" s="70">
        <f t="shared" si="6"/>
        <v>2.2345356293289115E-2</v>
      </c>
      <c r="M75"/>
    </row>
    <row r="76" spans="4:13" x14ac:dyDescent="0.35">
      <c r="D76" s="49">
        <f>IF(F27&lt;&gt;"",NA(),(ROW()-ROW(D40))/100)</f>
        <v>0.36</v>
      </c>
      <c r="E76" s="50">
        <f>IF(F27&lt;&gt;"",NA(),IF(F25="u",F26+(1/2)*(LN((1-E25)/E25))^-1*(D27-E26)*LN(D76/(1-D76))+((1-2*E25)*(LN((1-E25)/E25)))^-1*(1-2*(F26-E26)/(D27-E26))*(D27-E26)*(D76-0.5)*LN(D76/(1-D76)),IF(F25="sl",D26+EXP(LN(F26-D26)+(1/2)*(LN((1-E25)/E25))^-1*LN((D27-D26)/(E26-D26))*LN(D76/(1-D76))+((1-2*E25)*(LN((1-E25)/E25)))^-1*LN(((D27-D26)*(E26-D26))/(F26-D26)^2)*(D76-0.5)*LN(D76/(1-D76))),IF(F25="su",E27-EXP(-(-LN(E27-F26)-(1/2)*(LN((1-E25)/E25))^-1*LN((E27-D27)/(E27-E26))*LN(D76/(1-D76))-((1-2*E25)*(LN((1-E25)/E25)))^-1*LN(((E27-D27)*(E27-E26))/(E27-F26)^2)*(D76-0.5)*LN(D76/(1-D76)))),IF(F25="b",(D26+E27*EXP(LN((F26-D26)/(E27-F26))+(1/2)*(LN((1-E25)/E25))^-1*LN(((D27-D26)/(E27-D27))/((E26-D26)/(E27-E26)))*LN(D76/(1-D76))+((1-2*E25)*(LN((1-E25)/E25)))^-1*LN((((D27-D26)/(E27-D27))*((E26-D26)/(E27-E26)))/((F26-D26)/(E27-F26))^2)*(D76-0.5)*LN(D76/(1-D76))))/(1+EXP(LN((F26-D26)/(E27-F26))+(1/2)*(LN((1-E25)/E25))^-1*LN(((D27-D26)/(E27-D27))/((E26-D26)/(E27-E26)))*LN(D76/(1-D76))+((1-2*E25)*(LN((1-E25)/E25)))^-1*LN((((D27-D26)/(E27-D27))*((E26-D26)/(E27-E26)))/((F26-D26)/(E27-F26))^2)*(D76-0.5)*LN(D76/(1-D76)))),NA())))))</f>
        <v>30.221063994641806</v>
      </c>
      <c r="F76" s="51">
        <f>IF(F27&lt;&gt;"",NA(),IF(F25="u",((1/2)*(LN((1-E25)/E25))^-1*(D27-E26)/(D76*(1-D76))+((1-2*E25)*(LN((1-E25)/E25)))^-1*(1-2*(F26-E26)/(D27-E26))*(D27-E26)*((D76-0.5)/(D76*(1-D76))+LN(D76/(1-D76))))^(-1),IF(F25="sl",((1/2)*(LN((1-E25)/E25))^-1*LN((D27-D26)/(E26-D26))/(D76*(1-D76))+((1-2*E25)*(LN((1-E25)/E25)))^-1*LN(((D27-D26)*(E26-D26))/(F26-D26)^2)*((D76-0.5)/(D76*(1-D76))+LN(D76/(1-D76))))^(-1)*EXP(-(LN(F26-D26)+(1/2)*(LN((1-E25)/E25))^-1*LN((D27-D26)/(E26-D26))*LN(D76/(1-D76))+((1-2*E25)*(LN((1-E25)/E25)))^-1*LN(((D27-D26)*(E26-D26))/(F26-D26)^2)*(D76-0.5)*LN(D76/(1-D76)))),IF(F25="su",(-(1/2)*(LN((1-E25)/E25))^-1*LN((E27-D27)/(E27-E26))/(D76*(1-D76))-((1-2*E25)*(LN((1-E25)/E25)))^-1*LN(((E27-D27)*(E27-E26))/(E27-F26)^2)*((D76-0.5)/(D76*(1-D76))+LN(D76/(1-D76))))^(-1)*EXP((-LN(E27-F26)-(1/2)*(LN((1-E25)/E25))^-1*LN((E27-D27)/(E27-E26))*LN(D76/(1-D76))-((1-2*E25)*(LN((1-E25)/E25)))^-1*LN(((E27-D27)*(E27-E26))/(E27-F26)^2)*(D76-0.5)*LN(D76/(1-D76)))),IF(F25="b",((1/2)*(LN((1-E25)/E25))^-1*LN(((D27-D26)/(E27-D27))/((E26-D26)/(E27-E26)))/(D76*(1-D76))+((1-2*E25)*(LN((1-E25)/E25)))^-1*LN((((D27-D26)/(E27-D27))*((E26-D26)/(E27-E26)))/((F26-D26)/(E27-F26))^2)*((D76-0.5)/(D76*(1-D76))+LN(D76/(1-D76))))^(-1)*(1+EXP(LN((F26-D26)/(E27-F26))+(1/2)*(LN((1-E25)/E25))^-1*LN(((D27-D26)/(E27-D27))/((E26-D26)/(E27-E26)))*LN(D76/(1-D76))+((1-2*E25)*(LN((1-E25)/E25)))^-1*LN((((D27-D26)/(E27-D27))*((E26-D26)/(E27-E26)))/((F26-D26)/(E27-F26))^2)*(D76-0.5)*LN(D76/(1-D76))))^2/((E27-D26)*EXP(LN((F26-D26)/(E27-F26))+(1/2)*(LN((1-E25)/E25))^-1*LN(((D27-D26)/(E27-D27))/((E26-D26)/(E27-E26)))*LN(D76/(1-D76))+((1-2*E25)*(LN((1-E25)/E25)))^-1*LN((((D27-D26)/(E27-D27))*((E26-D26)/(E27-E26)))/((F26-D26)/(E27-F26))^2)*(D76-0.5)*LN(D76/(1-D76)))),NA())))))</f>
        <v>3.0509373203363999E-2</v>
      </c>
      <c r="H76" s="71">
        <v>40</v>
      </c>
      <c r="I76" s="68">
        <f t="shared" si="4"/>
        <v>41.27132026672836</v>
      </c>
      <c r="J76" s="69">
        <f t="shared" si="5"/>
        <v>69</v>
      </c>
      <c r="K76" s="70">
        <f t="shared" si="6"/>
        <v>2.1039311191657872E-2</v>
      </c>
      <c r="M76"/>
    </row>
    <row r="77" spans="4:13" x14ac:dyDescent="0.35">
      <c r="D77" s="49">
        <f>IF(F27&lt;&gt;"",NA(),(ROW()-ROW(D40))/100)</f>
        <v>0.37</v>
      </c>
      <c r="E77" s="50">
        <f>IF(F27&lt;&gt;"",NA(),IF(F25="u",F26+(1/2)*(LN((1-E25)/E25))^-1*(D27-E26)*LN(D77/(1-D77))+((1-2*E25)*(LN((1-E25)/E25)))^-1*(1-2*(F26-E26)/(D27-E26))*(D27-E26)*(D77-0.5)*LN(D77/(1-D77)),IF(F25="sl",D26+EXP(LN(F26-D26)+(1/2)*(LN((1-E25)/E25))^-1*LN((D27-D26)/(E26-D26))*LN(D77/(1-D77))+((1-2*E25)*(LN((1-E25)/E25)))^-1*LN(((D27-D26)*(E26-D26))/(F26-D26)^2)*(D77-0.5)*LN(D77/(1-D77))),IF(F25="su",E27-EXP(-(-LN(E27-F26)-(1/2)*(LN((1-E25)/E25))^-1*LN((E27-D27)/(E27-E26))*LN(D77/(1-D77))-((1-2*E25)*(LN((1-E25)/E25)))^-1*LN(((E27-D27)*(E27-E26))/(E27-F26)^2)*(D77-0.5)*LN(D77/(1-D77)))),IF(F25="b",(D26+E27*EXP(LN((F26-D26)/(E27-F26))+(1/2)*(LN((1-E25)/E25))^-1*LN(((D27-D26)/(E27-D27))/((E26-D26)/(E27-E26)))*LN(D77/(1-D77))+((1-2*E25)*(LN((1-E25)/E25)))^-1*LN((((D27-D26)/(E27-D27))*((E26-D26)/(E27-E26)))/((F26-D26)/(E27-F26))^2)*(D77-0.5)*LN(D77/(1-D77))))/(1+EXP(LN((F26-D26)/(E27-F26))+(1/2)*(LN((1-E25)/E25))^-1*LN(((D27-D26)/(E27-D27))/((E26-D26)/(E27-E26)))*LN(D77/(1-D77))+((1-2*E25)*(LN((1-E25)/E25)))^-1*LN((((D27-D26)/(E27-D27))*((E26-D26)/(E27-E26)))/((F26-D26)/(E27-F26))^2)*(D77-0.5)*LN(D77/(1-D77)))),NA())))))</f>
        <v>30.549165045084816</v>
      </c>
      <c r="F77" s="51">
        <f>IF(F27&lt;&gt;"",NA(),IF(F25="u",((1/2)*(LN((1-E25)/E25))^-1*(D27-E26)/(D77*(1-D77))+((1-2*E25)*(LN((1-E25)/E25)))^-1*(1-2*(F26-E26)/(D27-E26))*(D27-E26)*((D77-0.5)/(D77*(1-D77))+LN(D77/(1-D77))))^(-1),IF(F25="sl",((1/2)*(LN((1-E25)/E25))^-1*LN((D27-D26)/(E26-D26))/(D77*(1-D77))+((1-2*E25)*(LN((1-E25)/E25)))^-1*LN(((D27-D26)*(E26-D26))/(F26-D26)^2)*((D77-0.5)/(D77*(1-D77))+LN(D77/(1-D77))))^(-1)*EXP(-(LN(F26-D26)+(1/2)*(LN((1-E25)/E25))^-1*LN((D27-D26)/(E26-D26))*LN(D77/(1-D77))+((1-2*E25)*(LN((1-E25)/E25)))^-1*LN(((D27-D26)*(E26-D26))/(F26-D26)^2)*(D77-0.5)*LN(D77/(1-D77)))),IF(F25="su",(-(1/2)*(LN((1-E25)/E25))^-1*LN((E27-D27)/(E27-E26))/(D77*(1-D77))-((1-2*E25)*(LN((1-E25)/E25)))^-1*LN(((E27-D27)*(E27-E26))/(E27-F26)^2)*((D77-0.5)/(D77*(1-D77))+LN(D77/(1-D77))))^(-1)*EXP((-LN(E27-F26)-(1/2)*(LN((1-E25)/E25))^-1*LN((E27-D27)/(E27-E26))*LN(D77/(1-D77))-((1-2*E25)*(LN((1-E25)/E25)))^-1*LN(((E27-D27)*(E27-E26))/(E27-F26)^2)*(D77-0.5)*LN(D77/(1-D77)))),IF(F25="b",((1/2)*(LN((1-E25)/E25))^-1*LN(((D27-D26)/(E27-D27))/((E26-D26)/(E27-E26)))/(D77*(1-D77))+((1-2*E25)*(LN((1-E25)/E25)))^-1*LN((((D27-D26)/(E27-D27))*((E26-D26)/(E27-E26)))/((F26-D26)/(E27-F26))^2)*((D77-0.5)/(D77*(1-D77))+LN(D77/(1-D77))))^(-1)*(1+EXP(LN((F26-D26)/(E27-F26))+(1/2)*(LN((1-E25)/E25))^-1*LN(((D27-D26)/(E27-D27))/((E26-D26)/(E27-E26)))*LN(D77/(1-D77))+((1-2*E25)*(LN((1-E25)/E25)))^-1*LN((((D27-D26)/(E27-D27))*((E26-D26)/(E27-E26)))/((F26-D26)/(E27-F26))^2)*(D77-0.5)*LN(D77/(1-D77))))^2/((E27-D26)*EXP(LN((F26-D26)/(E27-F26))+(1/2)*(LN((1-E25)/E25))^-1*LN(((D27-D26)/(E27-D27))/((E26-D26)/(E27-E26)))*LN(D77/(1-D77))+((1-2*E25)*(LN((1-E25)/E25)))^-1*LN((((D27-D26)/(E27-D27))*((E26-D26)/(E27-E26)))/((F26-D26)/(E27-F26))^2)*(D77-0.5)*LN(D77/(1-D77)))),NA())))))</f>
        <v>3.0442542744344478E-2</v>
      </c>
      <c r="H77" s="71">
        <v>41</v>
      </c>
      <c r="I77" s="68">
        <f t="shared" si="4"/>
        <v>42.541380696671446</v>
      </c>
      <c r="J77" s="69">
        <f t="shared" si="5"/>
        <v>71</v>
      </c>
      <c r="K77" s="70">
        <f t="shared" si="6"/>
        <v>1.9766155717653909E-2</v>
      </c>
      <c r="M77"/>
    </row>
    <row r="78" spans="4:13" x14ac:dyDescent="0.35">
      <c r="D78" s="49">
        <f>IF(F27&lt;&gt;"",NA(),(ROW()-ROW(D40))/100)</f>
        <v>0.38</v>
      </c>
      <c r="E78" s="50">
        <f>IF(F27&lt;&gt;"",NA(),IF(F25="u",F26+(1/2)*(LN((1-E25)/E25))^-1*(D27-E26)*LN(D78/(1-D78))+((1-2*E25)*(LN((1-E25)/E25)))^-1*(1-2*(F26-E26)/(D27-E26))*(D27-E26)*(D78-0.5)*LN(D78/(1-D78)),IF(F25="sl",D26+EXP(LN(F26-D26)+(1/2)*(LN((1-E25)/E25))^-1*LN((D27-D26)/(E26-D26))*LN(D78/(1-D78))+((1-2*E25)*(LN((1-E25)/E25)))^-1*LN(((D27-D26)*(E26-D26))/(F26-D26)^2)*(D78-0.5)*LN(D78/(1-D78))),IF(F25="su",E27-EXP(-(-LN(E27-F26)-(1/2)*(LN((1-E25)/E25))^-1*LN((E27-D27)/(E27-E26))*LN(D78/(1-D78))-((1-2*E25)*(LN((1-E25)/E25)))^-1*LN(((E27-D27)*(E27-E26))/(E27-F26)^2)*(D78-0.5)*LN(D78/(1-D78)))),IF(F25="b",(D26+E27*EXP(LN((F26-D26)/(E27-F26))+(1/2)*(LN((1-E25)/E25))^-1*LN(((D27-D26)/(E27-D27))/((E26-D26)/(E27-E26)))*LN(D78/(1-D78))+((1-2*E25)*(LN((1-E25)/E25)))^-1*LN((((D27-D26)/(E27-D27))*((E26-D26)/(E27-E26)))/((F26-D26)/(E27-F26))^2)*(D78-0.5)*LN(D78/(1-D78))))/(1+EXP(LN((F26-D26)/(E27-F26))+(1/2)*(LN((1-E25)/E25))^-1*LN(((D27-D26)/(E27-D27))/((E26-D26)/(E27-E26)))*LN(D78/(1-D78))+((1-2*E25)*(LN((1-E25)/E25)))^-1*LN((((D27-D26)/(E27-D27))*((E26-D26)/(E27-E26)))/((F26-D26)/(E27-F26))^2)*(D78-0.5)*LN(D78/(1-D78)))),NA())))))</f>
        <v>30.878144518401584</v>
      </c>
      <c r="F78" s="51">
        <f>IF(F27&lt;&gt;"",NA(),IF(F25="u",((1/2)*(LN((1-E25)/E25))^-1*(D27-E26)/(D78*(1-D78))+((1-2*E25)*(LN((1-E25)/E25)))^-1*(1-2*(F26-E26)/(D27-E26))*(D27-E26)*((D78-0.5)/(D78*(1-D78))+LN(D78/(1-D78))))^(-1),IF(F25="sl",((1/2)*(LN((1-E25)/E25))^-1*LN((D27-D26)/(E26-D26))/(D78*(1-D78))+((1-2*E25)*(LN((1-E25)/E25)))^-1*LN(((D27-D26)*(E26-D26))/(F26-D26)^2)*((D78-0.5)/(D78*(1-D78))+LN(D78/(1-D78))))^(-1)*EXP(-(LN(F26-D26)+(1/2)*(LN((1-E25)/E25))^-1*LN((D27-D26)/(E26-D26))*LN(D78/(1-D78))+((1-2*E25)*(LN((1-E25)/E25)))^-1*LN(((D27-D26)*(E26-D26))/(F26-D26)^2)*(D78-0.5)*LN(D78/(1-D78)))),IF(F25="su",(-(1/2)*(LN((1-E25)/E25))^-1*LN((E27-D27)/(E27-E26))/(D78*(1-D78))-((1-2*E25)*(LN((1-E25)/E25)))^-1*LN(((E27-D27)*(E27-E26))/(E27-F26)^2)*((D78-0.5)/(D78*(1-D78))+LN(D78/(1-D78))))^(-1)*EXP((-LN(E27-F26)-(1/2)*(LN((1-E25)/E25))^-1*LN((E27-D27)/(E27-E26))*LN(D78/(1-D78))-((1-2*E25)*(LN((1-E25)/E25)))^-1*LN(((E27-D27)*(E27-E26))/(E27-F26)^2)*(D78-0.5)*LN(D78/(1-D78)))),IF(F25="b",((1/2)*(LN((1-E25)/E25))^-1*LN(((D27-D26)/(E27-D27))/((E26-D26)/(E27-E26)))/(D78*(1-D78))+((1-2*E25)*(LN((1-E25)/E25)))^-1*LN((((D27-D26)/(E27-D27))*((E26-D26)/(E27-E26)))/((F26-D26)/(E27-F26))^2)*((D78-0.5)/(D78*(1-D78))+LN(D78/(1-D78))))^(-1)*(1+EXP(LN((F26-D26)/(E27-F26))+(1/2)*(LN((1-E25)/E25))^-1*LN(((D27-D26)/(E27-D27))/((E26-D26)/(E27-E26)))*LN(D78/(1-D78))+((1-2*E25)*(LN((1-E25)/E25)))^-1*LN((((D27-D26)/(E27-D27))*((E26-D26)/(E27-E26)))/((F26-D26)/(E27-F26))^2)*(D78-0.5)*LN(D78/(1-D78))))^2/((E27-D26)*EXP(LN((F26-D26)/(E27-F26))+(1/2)*(LN((1-E25)/E25))^-1*LN(((D27-D26)/(E27-D27))/((E26-D26)/(E27-E26)))*LN(D78/(1-D78))+((1-2*E25)*(LN((1-E25)/E25)))^-1*LN((((D27-D26)/(E27-D27))*((E26-D26)/(E27-E26)))/((F26-D26)/(E27-F26))^2)*(D78-0.5)*LN(D78/(1-D78)))),NA())))))</f>
        <v>3.0346910471749807E-2</v>
      </c>
      <c r="H78" s="71">
        <v>42</v>
      </c>
      <c r="I78" s="68">
        <f t="shared" si="4"/>
        <v>43.811441126614532</v>
      </c>
      <c r="J78" s="69">
        <f t="shared" si="5"/>
        <v>74</v>
      </c>
      <c r="K78" s="70">
        <f t="shared" si="6"/>
        <v>1.853467608824249E-2</v>
      </c>
      <c r="M78"/>
    </row>
    <row r="79" spans="4:13" x14ac:dyDescent="0.35">
      <c r="D79" s="49">
        <f>IF(F27&lt;&gt;"",NA(),(ROW()-ROW(D40))/100)</f>
        <v>0.39</v>
      </c>
      <c r="E79" s="50">
        <f>IF(F27&lt;&gt;"",NA(),IF(F25="u",F26+(1/2)*(LN((1-E25)/E25))^-1*(D27-E26)*LN(D79/(1-D79))+((1-2*E25)*(LN((1-E25)/E25)))^-1*(1-2*(F26-E26)/(D27-E26))*(D27-E26)*(D79-0.5)*LN(D79/(1-D79)),IF(F25="sl",D26+EXP(LN(F26-D26)+(1/2)*(LN((1-E25)/E25))^-1*LN((D27-D26)/(E26-D26))*LN(D79/(1-D79))+((1-2*E25)*(LN((1-E25)/E25)))^-1*LN(((D27-D26)*(E26-D26))/(F26-D26)^2)*(D79-0.5)*LN(D79/(1-D79))),IF(F25="su",E27-EXP(-(-LN(E27-F26)-(1/2)*(LN((1-E25)/E25))^-1*LN((E27-D27)/(E27-E26))*LN(D79/(1-D79))-((1-2*E25)*(LN((1-E25)/E25)))^-1*LN(((E27-D27)*(E27-E26))/(E27-F26)^2)*(D79-0.5)*LN(D79/(1-D79)))),IF(F25="b",(D26+E27*EXP(LN((F26-D26)/(E27-F26))+(1/2)*(LN((1-E25)/E25))^-1*LN(((D27-D26)/(E27-D27))/((E26-D26)/(E27-E26)))*LN(D79/(1-D79))+((1-2*E25)*(LN((1-E25)/E25)))^-1*LN((((D27-D26)/(E27-D27))*((E26-D26)/(E27-E26)))/((F26-D26)/(E27-F26))^2)*(D79-0.5)*LN(D79/(1-D79))))/(1+EXP(LN((F26-D26)/(E27-F26))+(1/2)*(LN((1-E25)/E25))^-1*LN(((D27-D26)/(E27-D27))/((E26-D26)/(E27-E26)))*LN(D79/(1-D79))+((1-2*E25)*(LN((1-E25)/E25)))^-1*LN((((D27-D26)/(E27-D27))*((E26-D26)/(E27-E26)))/((F26-D26)/(E27-F26))^2)*(D79-0.5)*LN(D79/(1-D79)))),NA())))))</f>
        <v>31.208312000968295</v>
      </c>
      <c r="F79" s="51">
        <f>IF(F27&lt;&gt;"",NA(),IF(F25="u",((1/2)*(LN((1-E25)/E25))^-1*(D27-E26)/(D79*(1-D79))+((1-2*E25)*(LN((1-E25)/E25)))^-1*(1-2*(F26-E26)/(D27-E26))*(D27-E26)*((D79-0.5)/(D79*(1-D79))+LN(D79/(1-D79))))^(-1),IF(F25="sl",((1/2)*(LN((1-E25)/E25))^-1*LN((D27-D26)/(E26-D26))/(D79*(1-D79))+((1-2*E25)*(LN((1-E25)/E25)))^-1*LN(((D27-D26)*(E26-D26))/(F26-D26)^2)*((D79-0.5)/(D79*(1-D79))+LN(D79/(1-D79))))^(-1)*EXP(-(LN(F26-D26)+(1/2)*(LN((1-E25)/E25))^-1*LN((D27-D26)/(E26-D26))*LN(D79/(1-D79))+((1-2*E25)*(LN((1-E25)/E25)))^-1*LN(((D27-D26)*(E26-D26))/(F26-D26)^2)*(D79-0.5)*LN(D79/(1-D79)))),IF(F25="su",(-(1/2)*(LN((1-E25)/E25))^-1*LN((E27-D27)/(E27-E26))/(D79*(1-D79))-((1-2*E25)*(LN((1-E25)/E25)))^-1*LN(((E27-D27)*(E27-E26))/(E27-F26)^2)*((D79-0.5)/(D79*(1-D79))+LN(D79/(1-D79))))^(-1)*EXP((-LN(E27-F26)-(1/2)*(LN((1-E25)/E25))^-1*LN((E27-D27)/(E27-E26))*LN(D79/(1-D79))-((1-2*E25)*(LN((1-E25)/E25)))^-1*LN(((E27-D27)*(E27-E26))/(E27-F26)^2)*(D79-0.5)*LN(D79/(1-D79)))),IF(F25="b",((1/2)*(LN((1-E25)/E25))^-1*LN(((D27-D26)/(E27-D27))/((E26-D26)/(E27-E26)))/(D79*(1-D79))+((1-2*E25)*(LN((1-E25)/E25)))^-1*LN((((D27-D26)/(E27-D27))*((E26-D26)/(E27-E26)))/((F26-D26)/(E27-F26))^2)*((D79-0.5)/(D79*(1-D79))+LN(D79/(1-D79))))^(-1)*(1+EXP(LN((F26-D26)/(E27-F26))+(1/2)*(LN((1-E25)/E25))^-1*LN(((D27-D26)/(E27-D27))/((E26-D26)/(E27-E26)))*LN(D79/(1-D79))+((1-2*E25)*(LN((1-E25)/E25)))^-1*LN((((D27-D26)/(E27-D27))*((E26-D26)/(E27-E26)))/((F26-D26)/(E27-F26))^2)*(D79-0.5)*LN(D79/(1-D79))))^2/((E27-D26)*EXP(LN((F26-D26)/(E27-F26))+(1/2)*(LN((1-E25)/E25))^-1*LN(((D27-D26)/(E27-D27))/((E26-D26)/(E27-E26)))*LN(D79/(1-D79))+((1-2*E25)*(LN((1-E25)/E25)))^-1*LN((((D27-D26)/(E27-D27))*((E26-D26)/(E27-E26)))/((F26-D26)/(E27-F26))^2)*(D79-0.5)*LN(D79/(1-D79)))),NA())))))</f>
        <v>3.0224088570826011E-2</v>
      </c>
      <c r="H79" s="71">
        <v>43</v>
      </c>
      <c r="I79" s="68">
        <f t="shared" si="4"/>
        <v>45.081501556557619</v>
      </c>
      <c r="J79" s="69">
        <f t="shared" si="5"/>
        <v>76</v>
      </c>
      <c r="K79" s="70">
        <f t="shared" si="6"/>
        <v>1.7350156627609456E-2</v>
      </c>
      <c r="M79"/>
    </row>
    <row r="80" spans="4:13" x14ac:dyDescent="0.35">
      <c r="D80" s="49">
        <f>IF(F27&lt;&gt;"",NA(),(ROW()-ROW(D40))/100)</f>
        <v>0.4</v>
      </c>
      <c r="E80" s="50">
        <f>IF(F27&lt;&gt;"",NA(),IF(F25="u",F26+(1/2)*(LN((1-E25)/E25))^-1*(D27-E26)*LN(D80/(1-D80))+((1-2*E25)*(LN((1-E25)/E25)))^-1*(1-2*(F26-E26)/(D27-E26))*(D27-E26)*(D80-0.5)*LN(D80/(1-D80)),IF(F25="sl",D26+EXP(LN(F26-D26)+(1/2)*(LN((1-E25)/E25))^-1*LN((D27-D26)/(E26-D26))*LN(D80/(1-D80))+((1-2*E25)*(LN((1-E25)/E25)))^-1*LN(((D27-D26)*(E26-D26))/(F26-D26)^2)*(D80-0.5)*LN(D80/(1-D80))),IF(F25="su",E27-EXP(-(-LN(E27-F26)-(1/2)*(LN((1-E25)/E25))^-1*LN((E27-D27)/(E27-E26))*LN(D80/(1-D80))-((1-2*E25)*(LN((1-E25)/E25)))^-1*LN(((E27-D27)*(E27-E26))/(E27-F26)^2)*(D80-0.5)*LN(D80/(1-D80)))),IF(F25="b",(D26+E27*EXP(LN((F26-D26)/(E27-F26))+(1/2)*(LN((1-E25)/E25))^-1*LN(((D27-D26)/(E27-D27))/((E26-D26)/(E27-E26)))*LN(D80/(1-D80))+((1-2*E25)*(LN((1-E25)/E25)))^-1*LN((((D27-D26)/(E27-D27))*((E26-D26)/(E27-E26)))/((F26-D26)/(E27-F26))^2)*(D80-0.5)*LN(D80/(1-D80))))/(1+EXP(LN((F26-D26)/(E27-F26))+(1/2)*(LN((1-E25)/E25))^-1*LN(((D27-D26)/(E27-D27))/((E26-D26)/(E27-E26)))*LN(D80/(1-D80))+((1-2*E25)*(LN((1-E25)/E25)))^-1*LN((((D27-D26)/(E27-D27))*((E26-D26)/(E27-E26)))/((F26-D26)/(E27-F26))^2)*(D80-0.5)*LN(D80/(1-D80)))),NA())))))</f>
        <v>31.539966439732417</v>
      </c>
      <c r="F80" s="51">
        <f>IF(F27&lt;&gt;"",NA(),IF(F25="u",((1/2)*(LN((1-E25)/E25))^-1*(D27-E26)/(D80*(1-D80))+((1-2*E25)*(LN((1-E25)/E25)))^-1*(1-2*(F26-E26)/(D27-E26))*(D27-E26)*((D80-0.5)/(D80*(1-D80))+LN(D80/(1-D80))))^(-1),IF(F25="sl",((1/2)*(LN((1-E25)/E25))^-1*LN((D27-D26)/(E26-D26))/(D80*(1-D80))+((1-2*E25)*(LN((1-E25)/E25)))^-1*LN(((D27-D26)*(E26-D26))/(F26-D26)^2)*((D80-0.5)/(D80*(1-D80))+LN(D80/(1-D80))))^(-1)*EXP(-(LN(F26-D26)+(1/2)*(LN((1-E25)/E25))^-1*LN((D27-D26)/(E26-D26))*LN(D80/(1-D80))+((1-2*E25)*(LN((1-E25)/E25)))^-1*LN(((D27-D26)*(E26-D26))/(F26-D26)^2)*(D80-0.5)*LN(D80/(1-D80)))),IF(F25="su",(-(1/2)*(LN((1-E25)/E25))^-1*LN((E27-D27)/(E27-E26))/(D80*(1-D80))-((1-2*E25)*(LN((1-E25)/E25)))^-1*LN(((E27-D27)*(E27-E26))/(E27-F26)^2)*((D80-0.5)/(D80*(1-D80))+LN(D80/(1-D80))))^(-1)*EXP((-LN(E27-F26)-(1/2)*(LN((1-E25)/E25))^-1*LN((E27-D27)/(E27-E26))*LN(D80/(1-D80))-((1-2*E25)*(LN((1-E25)/E25)))^-1*LN(((E27-D27)*(E27-E26))/(E27-F26)^2)*(D80-0.5)*LN(D80/(1-D80)))),IF(F25="b",((1/2)*(LN((1-E25)/E25))^-1*LN(((D27-D26)/(E27-D27))/((E26-D26)/(E27-E26)))/(D80*(1-D80))+((1-2*E25)*(LN((1-E25)/E25)))^-1*LN((((D27-D26)/(E27-D27))*((E26-D26)/(E27-E26)))/((F26-D26)/(E27-F26))^2)*((D80-0.5)/(D80*(1-D80))+LN(D80/(1-D80))))^(-1)*(1+EXP(LN((F26-D26)/(E27-F26))+(1/2)*(LN((1-E25)/E25))^-1*LN(((D27-D26)/(E27-D27))/((E26-D26)/(E27-E26)))*LN(D80/(1-D80))+((1-2*E25)*(LN((1-E25)/E25)))^-1*LN((((D27-D26)/(E27-D27))*((E26-D26)/(E27-E26)))/((F26-D26)/(E27-F26))^2)*(D80-0.5)*LN(D80/(1-D80))))^2/((E27-D26)*EXP(LN((F26-D26)/(E27-F26))+(1/2)*(LN((1-E25)/E25))^-1*LN(((D27-D26)/(E27-D27))/((E26-D26)/(E27-E26)))*LN(D80/(1-D80))+((1-2*E25)*(LN((1-E25)/E25)))^-1*LN((((D27-D26)/(E27-D27))*((E26-D26)/(E27-E26)))/((F26-D26)/(E27-F26))^2)*(D80-0.5)*LN(D80/(1-D80)))),NA())))))</f>
        <v>3.0075612420546172E-2</v>
      </c>
      <c r="H80" s="71">
        <v>44</v>
      </c>
      <c r="I80" s="68">
        <f t="shared" si="4"/>
        <v>46.351561986500705</v>
      </c>
      <c r="J80" s="69">
        <f t="shared" si="5"/>
        <v>78</v>
      </c>
      <c r="K80" s="70">
        <f t="shared" si="6"/>
        <v>1.6215290467667211E-2</v>
      </c>
      <c r="M80"/>
    </row>
    <row r="81" spans="4:13" x14ac:dyDescent="0.35">
      <c r="D81" s="49">
        <f>IF(F27&lt;&gt;"",NA(),(ROW()-ROW(D40))/100)</f>
        <v>0.41</v>
      </c>
      <c r="E81" s="50">
        <f>IF(F27&lt;&gt;"",NA(),IF(F25="u",F26+(1/2)*(LN((1-E25)/E25))^-1*(D27-E26)*LN(D81/(1-D81))+((1-2*E25)*(LN((1-E25)/E25)))^-1*(1-2*(F26-E26)/(D27-E26))*(D27-E26)*(D81-0.5)*LN(D81/(1-D81)),IF(F25="sl",D26+EXP(LN(F26-D26)+(1/2)*(LN((1-E25)/E25))^-1*LN((D27-D26)/(E26-D26))*LN(D81/(1-D81))+((1-2*E25)*(LN((1-E25)/E25)))^-1*LN(((D27-D26)*(E26-D26))/(F26-D26)^2)*(D81-0.5)*LN(D81/(1-D81))),IF(F25="su",E27-EXP(-(-LN(E27-F26)-(1/2)*(LN((1-E25)/E25))^-1*LN((E27-D27)/(E27-E26))*LN(D81/(1-D81))-((1-2*E25)*(LN((1-E25)/E25)))^-1*LN(((E27-D27)*(E27-E26))/(E27-F26)^2)*(D81-0.5)*LN(D81/(1-D81)))),IF(F25="b",(D26+E27*EXP(LN((F26-D26)/(E27-F26))+(1/2)*(LN((1-E25)/E25))^-1*LN(((D27-D26)/(E27-D27))/((E26-D26)/(E27-E26)))*LN(D81/(1-D81))+((1-2*E25)*(LN((1-E25)/E25)))^-1*LN((((D27-D26)/(E27-D27))*((E26-D26)/(E27-E26)))/((F26-D26)/(E27-F26))^2)*(D81-0.5)*LN(D81/(1-D81))))/(1+EXP(LN((F26-D26)/(E27-F26))+(1/2)*(LN((1-E25)/E25))^-1*LN(((D27-D26)/(E27-D27))/((E26-D26)/(E27-E26)))*LN(D81/(1-D81))+((1-2*E25)*(LN((1-E25)/E25)))^-1*LN((((D27-D26)/(E27-D27))*((E26-D26)/(E27-E26)))/((F26-D26)/(E27-F26))^2)*(D81-0.5)*LN(D81/(1-D81)))),NA())))))</f>
        <v>31.873398119820216</v>
      </c>
      <c r="F81" s="51">
        <f>IF(F27&lt;&gt;"",NA(),IF(F25="u",((1/2)*(LN((1-E25)/E25))^-1*(D27-E26)/(D81*(1-D81))+((1-2*E25)*(LN((1-E25)/E25)))^-1*(1-2*(F26-E26)/(D27-E26))*(D27-E26)*((D81-0.5)/(D81*(1-D81))+LN(D81/(1-D81))))^(-1),IF(F25="sl",((1/2)*(LN((1-E25)/E25))^-1*LN((D27-D26)/(E26-D26))/(D81*(1-D81))+((1-2*E25)*(LN((1-E25)/E25)))^-1*LN(((D27-D26)*(E26-D26))/(F26-D26)^2)*((D81-0.5)/(D81*(1-D81))+LN(D81/(1-D81))))^(-1)*EXP(-(LN(F26-D26)+(1/2)*(LN((1-E25)/E25))^-1*LN((D27-D26)/(E26-D26))*LN(D81/(1-D81))+((1-2*E25)*(LN((1-E25)/E25)))^-1*LN(((D27-D26)*(E26-D26))/(F26-D26)^2)*(D81-0.5)*LN(D81/(1-D81)))),IF(F25="su",(-(1/2)*(LN((1-E25)/E25))^-1*LN((E27-D27)/(E27-E26))/(D81*(1-D81))-((1-2*E25)*(LN((1-E25)/E25)))^-1*LN(((E27-D27)*(E27-E26))/(E27-F26)^2)*((D81-0.5)/(D81*(1-D81))+LN(D81/(1-D81))))^(-1)*EXP((-LN(E27-F26)-(1/2)*(LN((1-E25)/E25))^-1*LN((E27-D27)/(E27-E26))*LN(D81/(1-D81))-((1-2*E25)*(LN((1-E25)/E25)))^-1*LN(((E27-D27)*(E27-E26))/(E27-F26)^2)*(D81-0.5)*LN(D81/(1-D81)))),IF(F25="b",((1/2)*(LN((1-E25)/E25))^-1*LN(((D27-D26)/(E27-D27))/((E26-D26)/(E27-E26)))/(D81*(1-D81))+((1-2*E25)*(LN((1-E25)/E25)))^-1*LN((((D27-D26)/(E27-D27))*((E26-D26)/(E27-E26)))/((F26-D26)/(E27-F26))^2)*((D81-0.5)/(D81*(1-D81))+LN(D81/(1-D81))))^(-1)*(1+EXP(LN((F26-D26)/(E27-F26))+(1/2)*(LN((1-E25)/E25))^-1*LN(((D27-D26)/(E27-D27))/((E26-D26)/(E27-E26)))*LN(D81/(1-D81))+((1-2*E25)*(LN((1-E25)/E25)))^-1*LN((((D27-D26)/(E27-D27))*((E26-D26)/(E27-E26)))/((F26-D26)/(E27-F26))^2)*(D81-0.5)*LN(D81/(1-D81))))^2/((E27-D26)*EXP(LN((F26-D26)/(E27-F26))+(1/2)*(LN((1-E25)/E25))^-1*LN(((D27-D26)/(E27-D27))/((E26-D26)/(E27-E26)))*LN(D81/(1-D81))+((1-2*E25)*(LN((1-E25)/E25)))^-1*LN((((D27-D26)/(E27-D27))*((E26-D26)/(E27-E26)))/((F26-D26)/(E27-F26))^2)*(D81-0.5)*LN(D81/(1-D81)))),NA())))))</f>
        <v>2.9902941327443602E-2</v>
      </c>
      <c r="H81" s="71">
        <v>45</v>
      </c>
      <c r="I81" s="68">
        <f t="shared" si="4"/>
        <v>47.621622416443792</v>
      </c>
      <c r="J81" s="69">
        <f t="shared" si="5"/>
        <v>80</v>
      </c>
      <c r="K81" s="70">
        <f t="shared" si="6"/>
        <v>1.5132365656103744E-2</v>
      </c>
      <c r="M81"/>
    </row>
    <row r="82" spans="4:13" x14ac:dyDescent="0.35">
      <c r="D82" s="49">
        <f>IF(F27&lt;&gt;"",NA(),(ROW()-ROW(D40))/100)</f>
        <v>0.42</v>
      </c>
      <c r="E82" s="50">
        <f>IF(F27&lt;&gt;"",NA(),IF(F25="u",F26+(1/2)*(LN((1-E25)/E25))^-1*(D27-E26)*LN(D82/(1-D82))+((1-2*E25)*(LN((1-E25)/E25)))^-1*(1-2*(F26-E26)/(D27-E26))*(D27-E26)*(D82-0.5)*LN(D82/(1-D82)),IF(F25="sl",D26+EXP(LN(F26-D26)+(1/2)*(LN((1-E25)/E25))^-1*LN((D27-D26)/(E26-D26))*LN(D82/(1-D82))+((1-2*E25)*(LN((1-E25)/E25)))^-1*LN(((D27-D26)*(E26-D26))/(F26-D26)^2)*(D82-0.5)*LN(D82/(1-D82))),IF(F25="su",E27-EXP(-(-LN(E27-F26)-(1/2)*(LN((1-E25)/E25))^-1*LN((E27-D27)/(E27-E26))*LN(D82/(1-D82))-((1-2*E25)*(LN((1-E25)/E25)))^-1*LN(((E27-D27)*(E27-E26))/(E27-F26)^2)*(D82-0.5)*LN(D82/(1-D82)))),IF(F25="b",(D26+E27*EXP(LN((F26-D26)/(E27-F26))+(1/2)*(LN((1-E25)/E25))^-1*LN(((D27-D26)/(E27-D27))/((E26-D26)/(E27-E26)))*LN(D82/(1-D82))+((1-2*E25)*(LN((1-E25)/E25)))^-1*LN((((D27-D26)/(E27-D27))*((E26-D26)/(E27-E26)))/((F26-D26)/(E27-F26))^2)*(D82-0.5)*LN(D82/(1-D82))))/(1+EXP(LN((F26-D26)/(E27-F26))+(1/2)*(LN((1-E25)/E25))^-1*LN(((D27-D26)/(E27-D27))/((E26-D26)/(E27-E26)))*LN(D82/(1-D82))+((1-2*E25)*(LN((1-E25)/E25)))^-1*LN((((D27-D26)/(E27-D27))*((E26-D26)/(E27-E26)))/((F26-D26)/(E27-F26))^2)*(D82-0.5)*LN(D82/(1-D82)))),NA())))))</f>
        <v>32.208890471982215</v>
      </c>
      <c r="F82" s="51">
        <f>IF(F27&lt;&gt;"",NA(),IF(F25="u",((1/2)*(LN((1-E25)/E25))^-1*(D27-E26)/(D82*(1-D82))+((1-2*E25)*(LN((1-E25)/E25)))^-1*(1-2*(F26-E26)/(D27-E26))*(D27-E26)*((D82-0.5)/(D82*(1-D82))+LN(D82/(1-D82))))^(-1),IF(F25="sl",((1/2)*(LN((1-E25)/E25))^-1*LN((D27-D26)/(E26-D26))/(D82*(1-D82))+((1-2*E25)*(LN((1-E25)/E25)))^-1*LN(((D27-D26)*(E26-D26))/(F26-D26)^2)*((D82-0.5)/(D82*(1-D82))+LN(D82/(1-D82))))^(-1)*EXP(-(LN(F26-D26)+(1/2)*(LN((1-E25)/E25))^-1*LN((D27-D26)/(E26-D26))*LN(D82/(1-D82))+((1-2*E25)*(LN((1-E25)/E25)))^-1*LN(((D27-D26)*(E26-D26))/(F26-D26)^2)*(D82-0.5)*LN(D82/(1-D82)))),IF(F25="su",(-(1/2)*(LN((1-E25)/E25))^-1*LN((E27-D27)/(E27-E26))/(D82*(1-D82))-((1-2*E25)*(LN((1-E25)/E25)))^-1*LN(((E27-D27)*(E27-E26))/(E27-F26)^2)*((D82-0.5)/(D82*(1-D82))+LN(D82/(1-D82))))^(-1)*EXP((-LN(E27-F26)-(1/2)*(LN((1-E25)/E25))^-1*LN((E27-D27)/(E27-E26))*LN(D82/(1-D82))-((1-2*E25)*(LN((1-E25)/E25)))^-1*LN(((E27-D27)*(E27-E26))/(E27-F26)^2)*(D82-0.5)*LN(D82/(1-D82)))),IF(F25="b",((1/2)*(LN((1-E25)/E25))^-1*LN(((D27-D26)/(E27-D27))/((E26-D26)/(E27-E26)))/(D82*(1-D82))+((1-2*E25)*(LN((1-E25)/E25)))^-1*LN((((D27-D26)/(E27-D27))*((E26-D26)/(E27-E26)))/((F26-D26)/(E27-F26))^2)*((D82-0.5)/(D82*(1-D82))+LN(D82/(1-D82))))^(-1)*(1+EXP(LN((F26-D26)/(E27-F26))+(1/2)*(LN((1-E25)/E25))^-1*LN(((D27-D26)/(E27-D27))/((E26-D26)/(E27-E26)))*LN(D82/(1-D82))+((1-2*E25)*(LN((1-E25)/E25)))^-1*LN((((D27-D26)/(E27-D27))*((E26-D26)/(E27-E26)))/((F26-D26)/(E27-F26))^2)*(D82-0.5)*LN(D82/(1-D82))))^2/((E27-D26)*EXP(LN((F26-D26)/(E27-F26))+(1/2)*(LN((1-E25)/E25))^-1*LN(((D27-D26)/(E27-D27))/((E26-D26)/(E27-E26)))*LN(D82/(1-D82))+((1-2*E25)*(LN((1-E25)/E25)))^-1*LN((((D27-D26)/(E27-D27))*((E26-D26)/(E27-E26)))/((F26-D26)/(E27-F26))^2)*(D82-0.5)*LN(D82/(1-D82)))),NA())))))</f>
        <v>2.9707459719825205E-2</v>
      </c>
      <c r="H82" s="71">
        <v>46</v>
      </c>
      <c r="I82" s="68">
        <f t="shared" si="4"/>
        <v>48.891682846386878</v>
      </c>
      <c r="J82" s="69">
        <f t="shared" si="5"/>
        <v>82</v>
      </c>
      <c r="K82" s="70">
        <f t="shared" si="6"/>
        <v>1.4102056767200341E-2</v>
      </c>
      <c r="M82"/>
    </row>
    <row r="83" spans="4:13" x14ac:dyDescent="0.35">
      <c r="D83" s="49">
        <f>IF(F27&lt;&gt;"",NA(),(ROW()-ROW(D40))/100)</f>
        <v>0.43</v>
      </c>
      <c r="E83" s="50">
        <f>IF(F27&lt;&gt;"",NA(),IF(F25="u",F26+(1/2)*(LN((1-E25)/E25))^-1*(D27-E26)*LN(D83/(1-D83))+((1-2*E25)*(LN((1-E25)/E25)))^-1*(1-2*(F26-E26)/(D27-E26))*(D27-E26)*(D83-0.5)*LN(D83/(1-D83)),IF(F25="sl",D26+EXP(LN(F26-D26)+(1/2)*(LN((1-E25)/E25))^-1*LN((D27-D26)/(E26-D26))*LN(D83/(1-D83))+((1-2*E25)*(LN((1-E25)/E25)))^-1*LN(((D27-D26)*(E26-D26))/(F26-D26)^2)*(D83-0.5)*LN(D83/(1-D83))),IF(F25="su",E27-EXP(-(-LN(E27-F26)-(1/2)*(LN((1-E25)/E25))^-1*LN((E27-D27)/(E27-E26))*LN(D83/(1-D83))-((1-2*E25)*(LN((1-E25)/E25)))^-1*LN(((E27-D27)*(E27-E26))/(E27-F26)^2)*(D83-0.5)*LN(D83/(1-D83)))),IF(F25="b",(D26+E27*EXP(LN((F26-D26)/(E27-F26))+(1/2)*(LN((1-E25)/E25))^-1*LN(((D27-D26)/(E27-D27))/((E26-D26)/(E27-E26)))*LN(D83/(1-D83))+((1-2*E25)*(LN((1-E25)/E25)))^-1*LN((((D27-D26)/(E27-D27))*((E26-D26)/(E27-E26)))/((F26-D26)/(E27-F26))^2)*(D83-0.5)*LN(D83/(1-D83))))/(1+EXP(LN((F26-D26)/(E27-F26))+(1/2)*(LN((1-E25)/E25))^-1*LN(((D27-D26)/(E27-D27))/((E26-D26)/(E27-E26)))*LN(D83/(1-D83))+((1-2*E25)*(LN((1-E25)/E25)))^-1*LN((((D27-D26)/(E27-D27))*((E26-D26)/(E27-E26)))/((F26-D26)/(E27-F26))^2)*(D83-0.5)*LN(D83/(1-D83)))),NA())))))</f>
        <v>32.546721741465596</v>
      </c>
      <c r="F83" s="51">
        <f>IF(F27&lt;&gt;"",NA(),IF(F25="u",((1/2)*(LN((1-E25)/E25))^-1*(D27-E26)/(D83*(1-D83))+((1-2*E25)*(LN((1-E25)/E25)))^-1*(1-2*(F26-E26)/(D27-E26))*(D27-E26)*((D83-0.5)/(D83*(1-D83))+LN(D83/(1-D83))))^(-1),IF(F25="sl",((1/2)*(LN((1-E25)/E25))^-1*LN((D27-D26)/(E26-D26))/(D83*(1-D83))+((1-2*E25)*(LN((1-E25)/E25)))^-1*LN(((D27-D26)*(E26-D26))/(F26-D26)^2)*((D83-0.5)/(D83*(1-D83))+LN(D83/(1-D83))))^(-1)*EXP(-(LN(F26-D26)+(1/2)*(LN((1-E25)/E25))^-1*LN((D27-D26)/(E26-D26))*LN(D83/(1-D83))+((1-2*E25)*(LN((1-E25)/E25)))^-1*LN(((D27-D26)*(E26-D26))/(F26-D26)^2)*(D83-0.5)*LN(D83/(1-D83)))),IF(F25="su",(-(1/2)*(LN((1-E25)/E25))^-1*LN((E27-D27)/(E27-E26))/(D83*(1-D83))-((1-2*E25)*(LN((1-E25)/E25)))^-1*LN(((E27-D27)*(E27-E26))/(E27-F26)^2)*((D83-0.5)/(D83*(1-D83))+LN(D83/(1-D83))))^(-1)*EXP((-LN(E27-F26)-(1/2)*(LN((1-E25)/E25))^-1*LN((E27-D27)/(E27-E26))*LN(D83/(1-D83))-((1-2*E25)*(LN((1-E25)/E25)))^-1*LN(((E27-D27)*(E27-E26))/(E27-F26)^2)*(D83-0.5)*LN(D83/(1-D83)))),IF(F25="b",((1/2)*(LN((1-E25)/E25))^-1*LN(((D27-D26)/(E27-D27))/((E26-D26)/(E27-E26)))/(D83*(1-D83))+((1-2*E25)*(LN((1-E25)/E25)))^-1*LN((((D27-D26)/(E27-D27))*((E26-D26)/(E27-E26)))/((F26-D26)/(E27-F26))^2)*((D83-0.5)/(D83*(1-D83))+LN(D83/(1-D83))))^(-1)*(1+EXP(LN((F26-D26)/(E27-F26))+(1/2)*(LN((1-E25)/E25))^-1*LN(((D27-D26)/(E27-D27))/((E26-D26)/(E27-E26)))*LN(D83/(1-D83))+((1-2*E25)*(LN((1-E25)/E25)))^-1*LN((((D27-D26)/(E27-D27))*((E26-D26)/(E27-E26)))/((F26-D26)/(E27-F26))^2)*(D83-0.5)*LN(D83/(1-D83))))^2/((E27-D26)*EXP(LN((F26-D26)/(E27-F26))+(1/2)*(LN((1-E25)/E25))^-1*LN(((D27-D26)/(E27-D27))/((E26-D26)/(E27-E26)))*LN(D83/(1-D83))+((1-2*E25)*(LN((1-E25)/E25)))^-1*LN((((D27-D26)/(E27-D27))*((E26-D26)/(E27-E26)))/((F26-D26)/(E27-F26))^2)*(D83-0.5)*LN(D83/(1-D83)))),NA())))))</f>
        <v>2.9490478711397365E-2</v>
      </c>
      <c r="H83" s="71">
        <v>47</v>
      </c>
      <c r="I83" s="68">
        <f t="shared" si="4"/>
        <v>50.161743276329965</v>
      </c>
      <c r="J83" s="69">
        <f t="shared" si="5"/>
        <v>84</v>
      </c>
      <c r="K83" s="70">
        <f t="shared" si="6"/>
        <v>1.3123291143863843E-2</v>
      </c>
      <c r="M83"/>
    </row>
    <row r="84" spans="4:13" x14ac:dyDescent="0.35">
      <c r="D84" s="49">
        <f>IF(F27&lt;&gt;"",NA(),(ROW()-ROW(D40))/100)</f>
        <v>0.44</v>
      </c>
      <c r="E84" s="50">
        <f>IF(F27&lt;&gt;"",NA(),IF(F25="u",F26+(1/2)*(LN((1-E25)/E25))^-1*(D27-E26)*LN(D84/(1-D84))+((1-2*E25)*(LN((1-E25)/E25)))^-1*(1-2*(F26-E26)/(D27-E26))*(D27-E26)*(D84-0.5)*LN(D84/(1-D84)),IF(F25="sl",D26+EXP(LN(F26-D26)+(1/2)*(LN((1-E25)/E25))^-1*LN((D27-D26)/(E26-D26))*LN(D84/(1-D84))+((1-2*E25)*(LN((1-E25)/E25)))^-1*LN(((D27-D26)*(E26-D26))/(F26-D26)^2)*(D84-0.5)*LN(D84/(1-D84))),IF(F25="su",E27-EXP(-(-LN(E27-F26)-(1/2)*(LN((1-E25)/E25))^-1*LN((E27-D27)/(E27-E26))*LN(D84/(1-D84))-((1-2*E25)*(LN((1-E25)/E25)))^-1*LN(((E27-D27)*(E27-E26))/(E27-F26)^2)*(D84-0.5)*LN(D84/(1-D84)))),IF(F25="b",(D26+E27*EXP(LN((F26-D26)/(E27-F26))+(1/2)*(LN((1-E25)/E25))^-1*LN(((D27-D26)/(E27-D27))/((E26-D26)/(E27-E26)))*LN(D84/(1-D84))+((1-2*E25)*(LN((1-E25)/E25)))^-1*LN((((D27-D26)/(E27-D27))*((E26-D26)/(E27-E26)))/((F26-D26)/(E27-F26))^2)*(D84-0.5)*LN(D84/(1-D84))))/(1+EXP(LN((F26-D26)/(E27-F26))+(1/2)*(LN((1-E25)/E25))^-1*LN(((D27-D26)/(E27-D27))/((E26-D26)/(E27-E26)))*LN(D84/(1-D84))+((1-2*E25)*(LN((1-E25)/E25)))^-1*LN((((D27-D26)/(E27-D27))*((E26-D26)/(E27-E26)))/((F26-D26)/(E27-F26))^2)*(D84-0.5)*LN(D84/(1-D84)))),NA())))))</f>
        <v>32.887166545645862</v>
      </c>
      <c r="F84" s="51">
        <f>IF(F27&lt;&gt;"",NA(),IF(F25="u",((1/2)*(LN((1-E25)/E25))^-1*(D27-E26)/(D84*(1-D84))+((1-2*E25)*(LN((1-E25)/E25)))^-1*(1-2*(F26-E26)/(D27-E26))*(D27-E26)*((D84-0.5)/(D84*(1-D84))+LN(D84/(1-D84))))^(-1),IF(F25="sl",((1/2)*(LN((1-E25)/E25))^-1*LN((D27-D26)/(E26-D26))/(D84*(1-D84))+((1-2*E25)*(LN((1-E25)/E25)))^-1*LN(((D27-D26)*(E26-D26))/(F26-D26)^2)*((D84-0.5)/(D84*(1-D84))+LN(D84/(1-D84))))^(-1)*EXP(-(LN(F26-D26)+(1/2)*(LN((1-E25)/E25))^-1*LN((D27-D26)/(E26-D26))*LN(D84/(1-D84))+((1-2*E25)*(LN((1-E25)/E25)))^-1*LN(((D27-D26)*(E26-D26))/(F26-D26)^2)*(D84-0.5)*LN(D84/(1-D84)))),IF(F25="su",(-(1/2)*(LN((1-E25)/E25))^-1*LN((E27-D27)/(E27-E26))/(D84*(1-D84))-((1-2*E25)*(LN((1-E25)/E25)))^-1*LN(((E27-D27)*(E27-E26))/(E27-F26)^2)*((D84-0.5)/(D84*(1-D84))+LN(D84/(1-D84))))^(-1)*EXP((-LN(E27-F26)-(1/2)*(LN((1-E25)/E25))^-1*LN((E27-D27)/(E27-E26))*LN(D84/(1-D84))-((1-2*E25)*(LN((1-E25)/E25)))^-1*LN(((E27-D27)*(E27-E26))/(E27-F26)^2)*(D84-0.5)*LN(D84/(1-D84)))),IF(F25="b",((1/2)*(LN((1-E25)/E25))^-1*LN(((D27-D26)/(E27-D27))/((E26-D26)/(E27-E26)))/(D84*(1-D84))+((1-2*E25)*(LN((1-E25)/E25)))^-1*LN((((D27-D26)/(E27-D27))*((E26-D26)/(E27-E26)))/((F26-D26)/(E27-F26))^2)*((D84-0.5)/(D84*(1-D84))+LN(D84/(1-D84))))^(-1)*(1+EXP(LN((F26-D26)/(E27-F26))+(1/2)*(LN((1-E25)/E25))^-1*LN(((D27-D26)/(E27-D27))/((E26-D26)/(E27-E26)))*LN(D84/(1-D84))+((1-2*E25)*(LN((1-E25)/E25)))^-1*LN((((D27-D26)/(E27-D27))*((E26-D26)/(E27-E26)))/((F26-D26)/(E27-F26))^2)*(D84-0.5)*LN(D84/(1-D84))))^2/((E27-D26)*EXP(LN((F26-D26)/(E27-F26))+(1/2)*(LN((1-E25)/E25))^-1*LN(((D27-D26)/(E27-D27))/((E26-D26)/(E27-E26)))*LN(D84/(1-D84))+((1-2*E25)*(LN((1-E25)/E25)))^-1*LN((((D27-D26)/(E27-D27))*((E26-D26)/(E27-E26)))/((F26-D26)/(E27-F26))^2)*(D84-0.5)*LN(D84/(1-D84)))),NA())))))</f>
        <v>2.925323795532107E-2</v>
      </c>
      <c r="H84" s="71">
        <v>48</v>
      </c>
      <c r="I84" s="68">
        <f t="shared" si="4"/>
        <v>51.431803706273051</v>
      </c>
      <c r="J84" s="69">
        <f t="shared" si="5"/>
        <v>85</v>
      </c>
      <c r="K84" s="70">
        <f t="shared" si="6"/>
        <v>1.2196309901037613E-2</v>
      </c>
      <c r="M84"/>
    </row>
    <row r="85" spans="4:13" x14ac:dyDescent="0.35">
      <c r="D85" s="49">
        <f>IF(F27&lt;&gt;"",NA(),(ROW()-ROW(D40))/100)</f>
        <v>0.45</v>
      </c>
      <c r="E85" s="50">
        <f>IF(F27&lt;&gt;"",NA(),IF(F25="u",F26+(1/2)*(LN((1-E25)/E25))^-1*(D27-E26)*LN(D85/(1-D85))+((1-2*E25)*(LN((1-E25)/E25)))^-1*(1-2*(F26-E26)/(D27-E26))*(D27-E26)*(D85-0.5)*LN(D85/(1-D85)),IF(F25="sl",D26+EXP(LN(F26-D26)+(1/2)*(LN((1-E25)/E25))^-1*LN((D27-D26)/(E26-D26))*LN(D85/(1-D85))+((1-2*E25)*(LN((1-E25)/E25)))^-1*LN(((D27-D26)*(E26-D26))/(F26-D26)^2)*(D85-0.5)*LN(D85/(1-D85))),IF(F25="su",E27-EXP(-(-LN(E27-F26)-(1/2)*(LN((1-E25)/E25))^-1*LN((E27-D27)/(E27-E26))*LN(D85/(1-D85))-((1-2*E25)*(LN((1-E25)/E25)))^-1*LN(((E27-D27)*(E27-E26))/(E27-F26)^2)*(D85-0.5)*LN(D85/(1-D85)))),IF(F25="b",(D26+E27*EXP(LN((F26-D26)/(E27-F26))+(1/2)*(LN((1-E25)/E25))^-1*LN(((D27-D26)/(E27-D27))/((E26-D26)/(E27-E26)))*LN(D85/(1-D85))+((1-2*E25)*(LN((1-E25)/E25)))^-1*LN((((D27-D26)/(E27-D27))*((E26-D26)/(E27-E26)))/((F26-D26)/(E27-F26))^2)*(D85-0.5)*LN(D85/(1-D85))))/(1+EXP(LN((F26-D26)/(E27-F26))+(1/2)*(LN((1-E25)/E25))^-1*LN(((D27-D26)/(E27-D27))/((E26-D26)/(E27-E26)))*LN(D85/(1-D85))+((1-2*E25)*(LN((1-E25)/E25)))^-1*LN((((D27-D26)/(E27-D27))*((E26-D26)/(E27-E26)))/((F26-D26)/(E27-F26))^2)*(D85-0.5)*LN(D85/(1-D85)))),NA())))))</f>
        <v>33.230497344384908</v>
      </c>
      <c r="F85" s="51">
        <f>IF(F27&lt;&gt;"",NA(),IF(F25="u",((1/2)*(LN((1-E25)/E25))^-1*(D27-E26)/(D85*(1-D85))+((1-2*E25)*(LN((1-E25)/E25)))^-1*(1-2*(F26-E26)/(D27-E26))*(D27-E26)*((D85-0.5)/(D85*(1-D85))+LN(D85/(1-D85))))^(-1),IF(F25="sl",((1/2)*(LN((1-E25)/E25))^-1*LN((D27-D26)/(E26-D26))/(D85*(1-D85))+((1-2*E25)*(LN((1-E25)/E25)))^-1*LN(((D27-D26)*(E26-D26))/(F26-D26)^2)*((D85-0.5)/(D85*(1-D85))+LN(D85/(1-D85))))^(-1)*EXP(-(LN(F26-D26)+(1/2)*(LN((1-E25)/E25))^-1*LN((D27-D26)/(E26-D26))*LN(D85/(1-D85))+((1-2*E25)*(LN((1-E25)/E25)))^-1*LN(((D27-D26)*(E26-D26))/(F26-D26)^2)*(D85-0.5)*LN(D85/(1-D85)))),IF(F25="su",(-(1/2)*(LN((1-E25)/E25))^-1*LN((E27-D27)/(E27-E26))/(D85*(1-D85))-((1-2*E25)*(LN((1-E25)/E25)))^-1*LN(((E27-D27)*(E27-E26))/(E27-F26)^2)*((D85-0.5)/(D85*(1-D85))+LN(D85/(1-D85))))^(-1)*EXP((-LN(E27-F26)-(1/2)*(LN((1-E25)/E25))^-1*LN((E27-D27)/(E27-E26))*LN(D85/(1-D85))-((1-2*E25)*(LN((1-E25)/E25)))^-1*LN(((E27-D27)*(E27-E26))/(E27-F26)^2)*(D85-0.5)*LN(D85/(1-D85)))),IF(F25="b",((1/2)*(LN((1-E25)/E25))^-1*LN(((D27-D26)/(E27-D27))/((E26-D26)/(E27-E26)))/(D85*(1-D85))+((1-2*E25)*(LN((1-E25)/E25)))^-1*LN((((D27-D26)/(E27-D27))*((E26-D26)/(E27-E26)))/((F26-D26)/(E27-F26))^2)*((D85-0.5)/(D85*(1-D85))+LN(D85/(1-D85))))^(-1)*(1+EXP(LN((F26-D26)/(E27-F26))+(1/2)*(LN((1-E25)/E25))^-1*LN(((D27-D26)/(E27-D27))/((E26-D26)/(E27-E26)))*LN(D85/(1-D85))+((1-2*E25)*(LN((1-E25)/E25)))^-1*LN((((D27-D26)/(E27-D27))*((E26-D26)/(E27-E26)))/((F26-D26)/(E27-F26))^2)*(D85-0.5)*LN(D85/(1-D85))))^2/((E27-D26)*EXP(LN((F26-D26)/(E27-F26))+(1/2)*(LN((1-E25)/E25))^-1*LN(((D27-D26)/(E27-D27))/((E26-D26)/(E27-E26)))*LN(D85/(1-D85))+((1-2*E25)*(LN((1-E25)/E25)))^-1*LN((((D27-D26)/(E27-D27))*((E26-D26)/(E27-E26)))/((F26-D26)/(E27-F26))^2)*(D85-0.5)*LN(D85/(1-D85)))),NA())))))</f>
        <v>2.8996907720511313E-2</v>
      </c>
      <c r="H85" s="71">
        <v>49</v>
      </c>
      <c r="I85" s="68">
        <f t="shared" si="4"/>
        <v>52.701864136216138</v>
      </c>
      <c r="J85" s="69">
        <f t="shared" si="5"/>
        <v>87</v>
      </c>
      <c r="K85" s="70">
        <f t="shared" si="6"/>
        <v>1.1321629692359426E-2</v>
      </c>
      <c r="M85"/>
    </row>
    <row r="86" spans="4:13" x14ac:dyDescent="0.35">
      <c r="D86" s="49">
        <f>IF(F27&lt;&gt;"",NA(),(ROW()-ROW(D40))/100)</f>
        <v>0.46</v>
      </c>
      <c r="E86" s="50">
        <f>IF(F27&lt;&gt;"",NA(),IF(F25="u",F26+(1/2)*(LN((1-E25)/E25))^-1*(D27-E26)*LN(D86/(1-D86))+((1-2*E25)*(LN((1-E25)/E25)))^-1*(1-2*(F26-E26)/(D27-E26))*(D27-E26)*(D86-0.5)*LN(D86/(1-D86)),IF(F25="sl",D26+EXP(LN(F26-D26)+(1/2)*(LN((1-E25)/E25))^-1*LN((D27-D26)/(E26-D26))*LN(D86/(1-D86))+((1-2*E25)*(LN((1-E25)/E25)))^-1*LN(((D27-D26)*(E26-D26))/(F26-D26)^2)*(D86-0.5)*LN(D86/(1-D86))),IF(F25="su",E27-EXP(-(-LN(E27-F26)-(1/2)*(LN((1-E25)/E25))^-1*LN((E27-D27)/(E27-E26))*LN(D86/(1-D86))-((1-2*E25)*(LN((1-E25)/E25)))^-1*LN(((E27-D27)*(E27-E26))/(E27-F26)^2)*(D86-0.5)*LN(D86/(1-D86)))),IF(F25="b",(D26+E27*EXP(LN((F26-D26)/(E27-F26))+(1/2)*(LN((1-E25)/E25))^-1*LN(((D27-D26)/(E27-D27))/((E26-D26)/(E27-E26)))*LN(D86/(1-D86))+((1-2*E25)*(LN((1-E25)/E25)))^-1*LN((((D27-D26)/(E27-D27))*((E26-D26)/(E27-E26)))/((F26-D26)/(E27-F26))^2)*(D86-0.5)*LN(D86/(1-D86))))/(1+EXP(LN((F26-D26)/(E27-F26))+(1/2)*(LN((1-E25)/E25))^-1*LN(((D27-D26)/(E27-D27))/((E26-D26)/(E27-E26)))*LN(D86/(1-D86))+((1-2*E25)*(LN((1-E25)/E25)))^-1*LN((((D27-D26)/(E27-D27))*((E26-D26)/(E27-E26)))/((F26-D26)/(E27-F26))^2)*(D86-0.5)*LN(D86/(1-D86)))),NA())))))</f>
        <v>33.576985844452643</v>
      </c>
      <c r="F86" s="51">
        <f>IF(F27&lt;&gt;"",NA(),IF(F25="u",((1/2)*(LN((1-E25)/E25))^-1*(D27-E26)/(D86*(1-D86))+((1-2*E25)*(LN((1-E25)/E25)))^-1*(1-2*(F26-E26)/(D27-E26))*(D27-E26)*((D86-0.5)/(D86*(1-D86))+LN(D86/(1-D86))))^(-1),IF(F25="sl",((1/2)*(LN((1-E25)/E25))^-1*LN((D27-D26)/(E26-D26))/(D86*(1-D86))+((1-2*E25)*(LN((1-E25)/E25)))^-1*LN(((D27-D26)*(E26-D26))/(F26-D26)^2)*((D86-0.5)/(D86*(1-D86))+LN(D86/(1-D86))))^(-1)*EXP(-(LN(F26-D26)+(1/2)*(LN((1-E25)/E25))^-1*LN((D27-D26)/(E26-D26))*LN(D86/(1-D86))+((1-2*E25)*(LN((1-E25)/E25)))^-1*LN(((D27-D26)*(E26-D26))/(F26-D26)^2)*(D86-0.5)*LN(D86/(1-D86)))),IF(F25="su",(-(1/2)*(LN((1-E25)/E25))^-1*LN((E27-D27)/(E27-E26))/(D86*(1-D86))-((1-2*E25)*(LN((1-E25)/E25)))^-1*LN(((E27-D27)*(E27-E26))/(E27-F26)^2)*((D86-0.5)/(D86*(1-D86))+LN(D86/(1-D86))))^(-1)*EXP((-LN(E27-F26)-(1/2)*(LN((1-E25)/E25))^-1*LN((E27-D27)/(E27-E26))*LN(D86/(1-D86))-((1-2*E25)*(LN((1-E25)/E25)))^-1*LN(((E27-D27)*(E27-E26))/(E27-F26)^2)*(D86-0.5)*LN(D86/(1-D86)))),IF(F25="b",((1/2)*(LN((1-E25)/E25))^-1*LN(((D27-D26)/(E27-D27))/((E26-D26)/(E27-E26)))/(D86*(1-D86))+((1-2*E25)*(LN((1-E25)/E25)))^-1*LN((((D27-D26)/(E27-D27))*((E26-D26)/(E27-E26)))/((F26-D26)/(E27-F26))^2)*((D86-0.5)/(D86*(1-D86))+LN(D86/(1-D86))))^(-1)*(1+EXP(LN((F26-D26)/(E27-F26))+(1/2)*(LN((1-E25)/E25))^-1*LN(((D27-D26)/(E27-D27))/((E26-D26)/(E27-E26)))*LN(D86/(1-D86))+((1-2*E25)*(LN((1-E25)/E25)))^-1*LN((((D27-D26)/(E27-D27))*((E26-D26)/(E27-E26)))/((F26-D26)/(E27-F26))^2)*(D86-0.5)*LN(D86/(1-D86))))^2/((E27-D26)*EXP(LN((F26-D26)/(E27-F26))+(1/2)*(LN((1-E25)/E25))^-1*LN(((D27-D26)/(E27-D27))/((E26-D26)/(E27-E26)))*LN(D86/(1-D86))+((1-2*E25)*(LN((1-E25)/E25)))^-1*LN((((D27-D26)/(E27-D27))*((E26-D26)/(E27-E26)))/((F26-D26)/(E27-F26))^2)*(D86-0.5)*LN(D86/(1-D86)))),NA())))))</f>
        <v>2.872259113165888E-2</v>
      </c>
      <c r="H86" s="71">
        <v>50</v>
      </c>
      <c r="I86" s="68">
        <f t="shared" si="4"/>
        <v>53.971924566159224</v>
      </c>
      <c r="J86" s="69">
        <f t="shared" si="5"/>
        <v>88</v>
      </c>
      <c r="K86" s="70">
        <f t="shared" si="6"/>
        <v>1.0495197526220889E-2</v>
      </c>
      <c r="M86"/>
    </row>
    <row r="87" spans="4:13" x14ac:dyDescent="0.35">
      <c r="D87" s="49">
        <f>IF(F27&lt;&gt;"",NA(),(ROW()-ROW(D40))/100)</f>
        <v>0.47</v>
      </c>
      <c r="E87" s="50">
        <f>IF(F27&lt;&gt;"",NA(),IF(F25="u",F26+(1/2)*(LN((1-E25)/E25))^-1*(D27-E26)*LN(D87/(1-D87))+((1-2*E25)*(LN((1-E25)/E25)))^-1*(1-2*(F26-E26)/(D27-E26))*(D27-E26)*(D87-0.5)*LN(D87/(1-D87)),IF(F25="sl",D26+EXP(LN(F26-D26)+(1/2)*(LN((1-E25)/E25))^-1*LN((D27-D26)/(E26-D26))*LN(D87/(1-D87))+((1-2*E25)*(LN((1-E25)/E25)))^-1*LN(((D27-D26)*(E26-D26))/(F26-D26)^2)*(D87-0.5)*LN(D87/(1-D87))),IF(F25="su",E27-EXP(-(-LN(E27-F26)-(1/2)*(LN((1-E25)/E25))^-1*LN((E27-D27)/(E27-E26))*LN(D87/(1-D87))-((1-2*E25)*(LN((1-E25)/E25)))^-1*LN(((E27-D27)*(E27-E26))/(E27-F26)^2)*(D87-0.5)*LN(D87/(1-D87)))),IF(F25="b",(D26+E27*EXP(LN((F26-D26)/(E27-F26))+(1/2)*(LN((1-E25)/E25))^-1*LN(((D27-D26)/(E27-D27))/((E26-D26)/(E27-E26)))*LN(D87/(1-D87))+((1-2*E25)*(LN((1-E25)/E25)))^-1*LN((((D27-D26)/(E27-D27))*((E26-D26)/(E27-E26)))/((F26-D26)/(E27-F26))^2)*(D87-0.5)*LN(D87/(1-D87))))/(1+EXP(LN((F26-D26)/(E27-F26))+(1/2)*(LN((1-E25)/E25))^-1*LN(((D27-D26)/(E27-D27))/((E26-D26)/(E27-E26)))*LN(D87/(1-D87))+((1-2*E25)*(LN((1-E25)/E25)))^-1*LN((((D27-D26)/(E27-D27))*((E26-D26)/(E27-E26)))/((F26-D26)/(E27-F26))^2)*(D87-0.5)*LN(D87/(1-D87)))),NA())))))</f>
        <v>33.92690435733293</v>
      </c>
      <c r="F87" s="51">
        <f>IF(F27&lt;&gt;"",NA(),IF(F25="u",((1/2)*(LN((1-E25)/E25))^-1*(D27-E26)/(D87*(1-D87))+((1-2*E25)*(LN((1-E25)/E25)))^-1*(1-2*(F26-E26)/(D27-E26))*(D27-E26)*((D87-0.5)/(D87*(1-D87))+LN(D87/(1-D87))))^(-1),IF(F25="sl",((1/2)*(LN((1-E25)/E25))^-1*LN((D27-D26)/(E26-D26))/(D87*(1-D87))+((1-2*E25)*(LN((1-E25)/E25)))^-1*LN(((D27-D26)*(E26-D26))/(F26-D26)^2)*((D87-0.5)/(D87*(1-D87))+LN(D87/(1-D87))))^(-1)*EXP(-(LN(F26-D26)+(1/2)*(LN((1-E25)/E25))^-1*LN((D27-D26)/(E26-D26))*LN(D87/(1-D87))+((1-2*E25)*(LN((1-E25)/E25)))^-1*LN(((D27-D26)*(E26-D26))/(F26-D26)^2)*(D87-0.5)*LN(D87/(1-D87)))),IF(F25="su",(-(1/2)*(LN((1-E25)/E25))^-1*LN((E27-D27)/(E27-E26))/(D87*(1-D87))-((1-2*E25)*(LN((1-E25)/E25)))^-1*LN(((E27-D27)*(E27-E26))/(E27-F26)^2)*((D87-0.5)/(D87*(1-D87))+LN(D87/(1-D87))))^(-1)*EXP((-LN(E27-F26)-(1/2)*(LN((1-E25)/E25))^-1*LN((E27-D27)/(E27-E26))*LN(D87/(1-D87))-((1-2*E25)*(LN((1-E25)/E25)))^-1*LN(((E27-D27)*(E27-E26))/(E27-F26)^2)*(D87-0.5)*LN(D87/(1-D87)))),IF(F25="b",((1/2)*(LN((1-E25)/E25))^-1*LN(((D27-D26)/(E27-D27))/((E26-D26)/(E27-E26)))/(D87*(1-D87))+((1-2*E25)*(LN((1-E25)/E25)))^-1*LN((((D27-D26)/(E27-D27))*((E26-D26)/(E27-E26)))/((F26-D26)/(E27-F26))^2)*((D87-0.5)/(D87*(1-D87))+LN(D87/(1-D87))))^(-1)*(1+EXP(LN((F26-D26)/(E27-F26))+(1/2)*(LN((1-E25)/E25))^-1*LN(((D27-D26)/(E27-D27))/((E26-D26)/(E27-E26)))*LN(D87/(1-D87))+((1-2*E25)*(LN((1-E25)/E25)))^-1*LN((((D27-D26)/(E27-D27))*((E26-D26)/(E27-E26)))/((F26-D26)/(E27-F26))^2)*(D87-0.5)*LN(D87/(1-D87))))^2/((E27-D26)*EXP(LN((F26-D26)/(E27-F26))+(1/2)*(LN((1-E25)/E25))^-1*LN(((D27-D26)/(E27-D27))/((E26-D26)/(E27-E26)))*LN(D87/(1-D87))+((1-2*E25)*(LN((1-E25)/E25)))^-1*LN((((D27-D26)/(E27-D27))*((E26-D26)/(E27-E26)))/((F26-D26)/(E27-F26))^2)*(D87-0.5)*LN(D87/(1-D87)))),NA())))))</f>
        <v>2.8431326523044163E-2</v>
      </c>
      <c r="H87" s="71">
        <v>51</v>
      </c>
      <c r="I87" s="68">
        <f t="shared" si="4"/>
        <v>55.24198499610231</v>
      </c>
      <c r="J87" s="69">
        <f t="shared" si="5"/>
        <v>90</v>
      </c>
      <c r="K87" s="70">
        <f t="shared" si="6"/>
        <v>9.7140998500583053E-3</v>
      </c>
      <c r="M87"/>
    </row>
    <row r="88" spans="4:13" x14ac:dyDescent="0.35">
      <c r="D88" s="49">
        <f>IF(F27&lt;&gt;"",NA(),(ROW()-ROW(D40))/100)</f>
        <v>0.48</v>
      </c>
      <c r="E88" s="50">
        <f>IF(F27&lt;&gt;"",NA(),IF(F25="u",F26+(1/2)*(LN((1-E25)/E25))^-1*(D27-E26)*LN(D88/(1-D88))+((1-2*E25)*(LN((1-E25)/E25)))^-1*(1-2*(F26-E26)/(D27-E26))*(D27-E26)*(D88-0.5)*LN(D88/(1-D88)),IF(F25="sl",D26+EXP(LN(F26-D26)+(1/2)*(LN((1-E25)/E25))^-1*LN((D27-D26)/(E26-D26))*LN(D88/(1-D88))+((1-2*E25)*(LN((1-E25)/E25)))^-1*LN(((D27-D26)*(E26-D26))/(F26-D26)^2)*(D88-0.5)*LN(D88/(1-D88))),IF(F25="su",E27-EXP(-(-LN(E27-F26)-(1/2)*(LN((1-E25)/E25))^-1*LN((E27-D27)/(E27-E26))*LN(D88/(1-D88))-((1-2*E25)*(LN((1-E25)/E25)))^-1*LN(((E27-D27)*(E27-E26))/(E27-F26)^2)*(D88-0.5)*LN(D88/(1-D88)))),IF(F25="b",(D26+E27*EXP(LN((F26-D26)/(E27-F26))+(1/2)*(LN((1-E25)/E25))^-1*LN(((D27-D26)/(E27-D27))/((E26-D26)/(E27-E26)))*LN(D88/(1-D88))+((1-2*E25)*(LN((1-E25)/E25)))^-1*LN((((D27-D26)/(E27-D27))*((E26-D26)/(E27-E26)))/((F26-D26)/(E27-F26))^2)*(D88-0.5)*LN(D88/(1-D88))))/(1+EXP(LN((F26-D26)/(E27-F26))+(1/2)*(LN((1-E25)/E25))^-1*LN(((D27-D26)/(E27-D27))/((E26-D26)/(E27-E26)))*LN(D88/(1-D88))+((1-2*E25)*(LN((1-E25)/E25)))^-1*LN((((D27-D26)/(E27-D27))*((E26-D26)/(E27-E26)))/((F26-D26)/(E27-F26))^2)*(D88-0.5)*LN(D88/(1-D88)))),NA())))))</f>
        <v>34.280527128242461</v>
      </c>
      <c r="F88" s="51">
        <f>IF(F27&lt;&gt;"",NA(),IF(F25="u",((1/2)*(LN((1-E25)/E25))^-1*(D27-E26)/(D88*(1-D88))+((1-2*E25)*(LN((1-E25)/E25)))^-1*(1-2*(F26-E26)/(D27-E26))*(D27-E26)*((D88-0.5)/(D88*(1-D88))+LN(D88/(1-D88))))^(-1),IF(F25="sl",((1/2)*(LN((1-E25)/E25))^-1*LN((D27-D26)/(E26-D26))/(D88*(1-D88))+((1-2*E25)*(LN((1-E25)/E25)))^-1*LN(((D27-D26)*(E26-D26))/(F26-D26)^2)*((D88-0.5)/(D88*(1-D88))+LN(D88/(1-D88))))^(-1)*EXP(-(LN(F26-D26)+(1/2)*(LN((1-E25)/E25))^-1*LN((D27-D26)/(E26-D26))*LN(D88/(1-D88))+((1-2*E25)*(LN((1-E25)/E25)))^-1*LN(((D27-D26)*(E26-D26))/(F26-D26)^2)*(D88-0.5)*LN(D88/(1-D88)))),IF(F25="su",(-(1/2)*(LN((1-E25)/E25))^-1*LN((E27-D27)/(E27-E26))/(D88*(1-D88))-((1-2*E25)*(LN((1-E25)/E25)))^-1*LN(((E27-D27)*(E27-E26))/(E27-F26)^2)*((D88-0.5)/(D88*(1-D88))+LN(D88/(1-D88))))^(-1)*EXP((-LN(E27-F26)-(1/2)*(LN((1-E25)/E25))^-1*LN((E27-D27)/(E27-E26))*LN(D88/(1-D88))-((1-2*E25)*(LN((1-E25)/E25)))^-1*LN(((E27-D27)*(E27-E26))/(E27-F26)^2)*(D88-0.5)*LN(D88/(1-D88)))),IF(F25="b",((1/2)*(LN((1-E25)/E25))^-1*LN(((D27-D26)/(E27-D27))/((E26-D26)/(E27-E26)))/(D88*(1-D88))+((1-2*E25)*(LN((1-E25)/E25)))^-1*LN((((D27-D26)/(E27-D27))*((E26-D26)/(E27-E26)))/((F26-D26)/(E27-F26))^2)*((D88-0.5)/(D88*(1-D88))+LN(D88/(1-D88))))^(-1)*(1+EXP(LN((F26-D26)/(E27-F26))+(1/2)*(LN((1-E25)/E25))^-1*LN(((D27-D26)/(E27-D27))/((E26-D26)/(E27-E26)))*LN(D88/(1-D88))+((1-2*E25)*(LN((1-E25)/E25)))^-1*LN((((D27-D26)/(E27-D27))*((E26-D26)/(E27-E26)))/((F26-D26)/(E27-F26))^2)*(D88-0.5)*LN(D88/(1-D88))))^2/((E27-D26)*EXP(LN((F26-D26)/(E27-F26))+(1/2)*(LN((1-E25)/E25))^-1*LN(((D27-D26)/(E27-D27))/((E26-D26)/(E27-E26)))*LN(D88/(1-D88))+((1-2*E25)*(LN((1-E25)/E25)))^-1*LN((((D27-D26)/(E27-D27))*((E26-D26)/(E27-E26)))/((F26-D26)/(E27-F26))^2)*(D88-0.5)*LN(D88/(1-D88)))),NA())))))</f>
        <v>2.8124089863807891E-2</v>
      </c>
      <c r="H88" s="71">
        <v>52</v>
      </c>
      <c r="I88" s="68">
        <f t="shared" si="4"/>
        <v>56.512045426045397</v>
      </c>
      <c r="J88" s="69">
        <f t="shared" si="5"/>
        <v>91</v>
      </c>
      <c r="K88" s="70">
        <f t="shared" si="6"/>
        <v>8.9849024936363864E-3</v>
      </c>
      <c r="M88"/>
    </row>
    <row r="89" spans="4:13" x14ac:dyDescent="0.35">
      <c r="D89" s="49">
        <f>IF(F27&lt;&gt;"",NA(),(ROW()-ROW(D40))/100)</f>
        <v>0.49</v>
      </c>
      <c r="E89" s="50">
        <f>IF(F27&lt;&gt;"",NA(),IF(F25="u",F26+(1/2)*(LN((1-E25)/E25))^-1*(D27-E26)*LN(D89/(1-D89))+((1-2*E25)*(LN((1-E25)/E25)))^-1*(1-2*(F26-E26)/(D27-E26))*(D27-E26)*(D89-0.5)*LN(D89/(1-D89)),IF(F25="sl",D26+EXP(LN(F26-D26)+(1/2)*(LN((1-E25)/E25))^-1*LN((D27-D26)/(E26-D26))*LN(D89/(1-D89))+((1-2*E25)*(LN((1-E25)/E25)))^-1*LN(((D27-D26)*(E26-D26))/(F26-D26)^2)*(D89-0.5)*LN(D89/(1-D89))),IF(F25="su",E27-EXP(-(-LN(E27-F26)-(1/2)*(LN((1-E25)/E25))^-1*LN((E27-D27)/(E27-E26))*LN(D89/(1-D89))-((1-2*E25)*(LN((1-E25)/E25)))^-1*LN(((E27-D27)*(E27-E26))/(E27-F26)^2)*(D89-0.5)*LN(D89/(1-D89)))),IF(F25="b",(D26+E27*EXP(LN((F26-D26)/(E27-F26))+(1/2)*(LN((1-E25)/E25))^-1*LN(((D27-D26)/(E27-D27))/((E26-D26)/(E27-E26)))*LN(D89/(1-D89))+((1-2*E25)*(LN((1-E25)/E25)))^-1*LN((((D27-D26)/(E27-D27))*((E26-D26)/(E27-E26)))/((F26-D26)/(E27-F26))^2)*(D89-0.5)*LN(D89/(1-D89))))/(1+EXP(LN((F26-D26)/(E27-F26))+(1/2)*(LN((1-E25)/E25))^-1*LN(((D27-D26)/(E27-D27))/((E26-D26)/(E27-E26)))*LN(D89/(1-D89))+((1-2*E25)*(LN((1-E25)/E25)))^-1*LN((((D27-D26)/(E27-D27))*((E26-D26)/(E27-E26)))/((F26-D26)/(E27-F26))^2)*(D89-0.5)*LN(D89/(1-D89)))),NA())))))</f>
        <v>34.638131653155263</v>
      </c>
      <c r="F89" s="51">
        <f>IF(F27&lt;&gt;"",NA(),IF(F25="u",((1/2)*(LN((1-E25)/E25))^-1*(D27-E26)/(D89*(1-D89))+((1-2*E25)*(LN((1-E25)/E25)))^-1*(1-2*(F26-E26)/(D27-E26))*(D27-E26)*((D89-0.5)/(D89*(1-D89))+LN(D89/(1-D89))))^(-1),IF(F25="sl",((1/2)*(LN((1-E25)/E25))^-1*LN((D27-D26)/(E26-D26))/(D89*(1-D89))+((1-2*E25)*(LN((1-E25)/E25)))^-1*LN(((D27-D26)*(E26-D26))/(F26-D26)^2)*((D89-0.5)/(D89*(1-D89))+LN(D89/(1-D89))))^(-1)*EXP(-(LN(F26-D26)+(1/2)*(LN((1-E25)/E25))^-1*LN((D27-D26)/(E26-D26))*LN(D89/(1-D89))+((1-2*E25)*(LN((1-E25)/E25)))^-1*LN(((D27-D26)*(E26-D26))/(F26-D26)^2)*(D89-0.5)*LN(D89/(1-D89)))),IF(F25="su",(-(1/2)*(LN((1-E25)/E25))^-1*LN((E27-D27)/(E27-E26))/(D89*(1-D89))-((1-2*E25)*(LN((1-E25)/E25)))^-1*LN(((E27-D27)*(E27-E26))/(E27-F26)^2)*((D89-0.5)/(D89*(1-D89))+LN(D89/(1-D89))))^(-1)*EXP((-LN(E27-F26)-(1/2)*(LN((1-E25)/E25))^-1*LN((E27-D27)/(E27-E26))*LN(D89/(1-D89))-((1-2*E25)*(LN((1-E25)/E25)))^-1*LN(((E27-D27)*(E27-E26))/(E27-F26)^2)*(D89-0.5)*LN(D89/(1-D89)))),IF(F25="b",((1/2)*(LN((1-E25)/E25))^-1*LN(((D27-D26)/(E27-D27))/((E26-D26)/(E27-E26)))/(D89*(1-D89))+((1-2*E25)*(LN((1-E25)/E25)))^-1*LN((((D27-D26)/(E27-D27))*((E26-D26)/(E27-E26)))/((F26-D26)/(E27-F26))^2)*((D89-0.5)/(D89*(1-D89))+LN(D89/(1-D89))))^(-1)*(1+EXP(LN((F26-D26)/(E27-F26))+(1/2)*(LN((1-E25)/E25))^-1*LN(((D27-D26)/(E27-D27))/((E26-D26)/(E27-E26)))*LN(D89/(1-D89))+((1-2*E25)*(LN((1-E25)/E25)))^-1*LN((((D27-D26)/(E27-D27))*((E26-D26)/(E27-E26)))/((F26-D26)/(E27-F26))^2)*(D89-0.5)*LN(D89/(1-D89))))^2/((E27-D26)*EXP(LN((F26-D26)/(E27-F26))+(1/2)*(LN((1-E25)/E25))^-1*LN(((D27-D26)/(E27-D27))/((E26-D26)/(E27-E26)))*LN(D89/(1-D89))+((1-2*E25)*(LN((1-E25)/E25)))^-1*LN((((D27-D26)/(E27-D27))*((E26-D26)/(E27-E26)))/((F26-D26)/(E27-F26))^2)*(D89-0.5)*LN(D89/(1-D89)))),NA())))))</f>
        <v>2.7801797219017543E-2</v>
      </c>
      <c r="H89" s="71">
        <v>53</v>
      </c>
      <c r="I89" s="68">
        <f t="shared" si="4"/>
        <v>57.782105855988483</v>
      </c>
      <c r="J89" s="69">
        <f t="shared" si="5"/>
        <v>92</v>
      </c>
      <c r="K89" s="70">
        <f t="shared" si="6"/>
        <v>8.2992915739082771E-3</v>
      </c>
      <c r="M89"/>
    </row>
    <row r="90" spans="4:13" x14ac:dyDescent="0.35">
      <c r="D90" s="49">
        <f>IF(F27&lt;&gt;"",NA(),(ROW()-ROW(D40))/100)</f>
        <v>0.5</v>
      </c>
      <c r="E90" s="50">
        <f>IF(F27&lt;&gt;"",NA(),IF(F25="u",F26+(1/2)*(LN((1-E25)/E25))^-1*(D27-E26)*LN(D90/(1-D90))+((1-2*E25)*(LN((1-E25)/E25)))^-1*(1-2*(F26-E26)/(D27-E26))*(D27-E26)*(D90-0.5)*LN(D90/(1-D90)),IF(F25="sl",D26+EXP(LN(F26-D26)+(1/2)*(LN((1-E25)/E25))^-1*LN((D27-D26)/(E26-D26))*LN(D90/(1-D90))+((1-2*E25)*(LN((1-E25)/E25)))^-1*LN(((D27-D26)*(E26-D26))/(F26-D26)^2)*(D90-0.5)*LN(D90/(1-D90))),IF(F25="su",E27-EXP(-(-LN(E27-F26)-(1/2)*(LN((1-E25)/E25))^-1*LN((E27-D27)/(E27-E26))*LN(D90/(1-D90))-((1-2*E25)*(LN((1-E25)/E25)))^-1*LN(((E27-D27)*(E27-E26))/(E27-F26)^2)*(D90-0.5)*LN(D90/(1-D90)))),IF(F25="b",(D26+E27*EXP(LN((F26-D26)/(E27-F26))+(1/2)*(LN((1-E25)/E25))^-1*LN(((D27-D26)/(E27-D27))/((E26-D26)/(E27-E26)))*LN(D90/(1-D90))+((1-2*E25)*(LN((1-E25)/E25)))^-1*LN((((D27-D26)/(E27-D27))*((E26-D26)/(E27-E26)))/((F26-D26)/(E27-F26))^2)*(D90-0.5)*LN(D90/(1-D90))))/(1+EXP(LN((F26-D26)/(E27-F26))+(1/2)*(LN((1-E25)/E25))^-1*LN(((D27-D26)/(E27-D27))/((E26-D26)/(E27-E26)))*LN(D90/(1-D90))+((1-2*E25)*(LN((1-E25)/E25)))^-1*LN((((D27-D26)/(E27-D27))*((E26-D26)/(E27-E26)))/((F26-D26)/(E27-F26))^2)*(D90-0.5)*LN(D90/(1-D90)))),NA())))))</f>
        <v>35</v>
      </c>
      <c r="F90" s="51">
        <f>IF(F27&lt;&gt;"",NA(),IF(F25="u",((1/2)*(LN((1-E25)/E25))^-1*(D27-E26)/(D90*(1-D90))+((1-2*E25)*(LN((1-E25)/E25)))^-1*(1-2*(F26-E26)/(D27-E26))*(D27-E26)*((D90-0.5)/(D90*(1-D90))+LN(D90/(1-D90))))^(-1),IF(F25="sl",((1/2)*(LN((1-E25)/E25))^-1*LN((D27-D26)/(E26-D26))/(D90*(1-D90))+((1-2*E25)*(LN((1-E25)/E25)))^-1*LN(((D27-D26)*(E26-D26))/(F26-D26)^2)*((D90-0.5)/(D90*(1-D90))+LN(D90/(1-D90))))^(-1)*EXP(-(LN(F26-D26)+(1/2)*(LN((1-E25)/E25))^-1*LN((D27-D26)/(E26-D26))*LN(D90/(1-D90))+((1-2*E25)*(LN((1-E25)/E25)))^-1*LN(((D27-D26)*(E26-D26))/(F26-D26)^2)*(D90-0.5)*LN(D90/(1-D90)))),IF(F25="su",(-(1/2)*(LN((1-E25)/E25))^-1*LN((E27-D27)/(E27-E26))/(D90*(1-D90))-((1-2*E25)*(LN((1-E25)/E25)))^-1*LN(((E27-D27)*(E27-E26))/(E27-F26)^2)*((D90-0.5)/(D90*(1-D90))+LN(D90/(1-D90))))^(-1)*EXP((-LN(E27-F26)-(1/2)*(LN((1-E25)/E25))^-1*LN((E27-D27)/(E27-E26))*LN(D90/(1-D90))-((1-2*E25)*(LN((1-E25)/E25)))^-1*LN(((E27-D27)*(E27-E26))/(E27-F26)^2)*(D90-0.5)*LN(D90/(1-D90)))),IF(F25="b",((1/2)*(LN((1-E25)/E25))^-1*LN(((D27-D26)/(E27-D27))/((E26-D26)/(E27-E26)))/(D90*(1-D90))+((1-2*E25)*(LN((1-E25)/E25)))^-1*LN((((D27-D26)/(E27-D27))*((E26-D26)/(E27-E26)))/((F26-D26)/(E27-F26))^2)*((D90-0.5)/(D90*(1-D90))+LN(D90/(1-D90))))^(-1)*(1+EXP(LN((F26-D26)/(E27-F26))+(1/2)*(LN((1-E25)/E25))^-1*LN(((D27-D26)/(E27-D27))/((E26-D26)/(E27-E26)))*LN(D90/(1-D90))+((1-2*E25)*(LN((1-E25)/E25)))^-1*LN((((D27-D26)/(E27-D27))*((E26-D26)/(E27-E26)))/((F26-D26)/(E27-F26))^2)*(D90-0.5)*LN(D90/(1-D90))))^2/((E27-D26)*EXP(LN((F26-D26)/(E27-F26))+(1/2)*(LN((1-E25)/E25))^-1*LN(((D27-D26)/(E27-D27))/((E26-D26)/(E27-E26)))*LN(D90/(1-D90))+((1-2*E25)*(LN((1-E25)/E25)))^-1*LN((((D27-D26)/(E27-D27))*((E26-D26)/(E27-E26)))/((F26-D26)/(E27-F26))^2)*(D90-0.5)*LN(D90/(1-D90)))),NA())))))</f>
        <v>2.7465307216702747E-2</v>
      </c>
      <c r="H90" s="71">
        <v>54</v>
      </c>
      <c r="I90" s="68">
        <f t="shared" si="4"/>
        <v>59.05216628593157</v>
      </c>
      <c r="J90" s="69">
        <f t="shared" si="5"/>
        <v>93</v>
      </c>
      <c r="K90" s="70">
        <f t="shared" si="6"/>
        <v>7.6561910620086965E-3</v>
      </c>
      <c r="M90"/>
    </row>
    <row r="91" spans="4:13" x14ac:dyDescent="0.35">
      <c r="D91" s="49">
        <f>IF(F27&lt;&gt;"",NA(),(ROW()-ROW(D40))/100)</f>
        <v>0.51</v>
      </c>
      <c r="E91" s="50">
        <f>IF(F27&lt;&gt;"",NA(),IF(F25="u",F26+(1/2)*(LN((1-E25)/E25))^-1*(D27-E26)*LN(D91/(1-D91))+((1-2*E25)*(LN((1-E25)/E25)))^-1*(1-2*(F26-E26)/(D27-E26))*(D27-E26)*(D91-0.5)*LN(D91/(1-D91)),IF(F25="sl",D26+EXP(LN(F26-D26)+(1/2)*(LN((1-E25)/E25))^-1*LN((D27-D26)/(E26-D26))*LN(D91/(1-D91))+((1-2*E25)*(LN((1-E25)/E25)))^-1*LN(((D27-D26)*(E26-D26))/(F26-D26)^2)*(D91-0.5)*LN(D91/(1-D91))),IF(F25="su",E27-EXP(-(-LN(E27-F26)-(1/2)*(LN((1-E25)/E25))^-1*LN((E27-D27)/(E27-E26))*LN(D91/(1-D91))-((1-2*E25)*(LN((1-E25)/E25)))^-1*LN(((E27-D27)*(E27-E26))/(E27-F26)^2)*(D91-0.5)*LN(D91/(1-D91)))),IF(F25="b",(D26+E27*EXP(LN((F26-D26)/(E27-F26))+(1/2)*(LN((1-E25)/E25))^-1*LN(((D27-D26)/(E27-D27))/((E26-D26)/(E27-E26)))*LN(D91/(1-D91))+((1-2*E25)*(LN((1-E25)/E25)))^-1*LN((((D27-D26)/(E27-D27))*((E26-D26)/(E27-E26)))/((F26-D26)/(E27-F26))^2)*(D91-0.5)*LN(D91/(1-D91))))/(1+EXP(LN((F26-D26)/(E27-F26))+(1/2)*(LN((1-E25)/E25))^-1*LN(((D27-D26)/(E27-D27))/((E26-D26)/(E27-E26)))*LN(D91/(1-D91))+((1-2*E25)*(LN((1-E25)/E25)))^-1*LN((((D27-D26)/(E27-D27))*((E26-D26)/(E27-E26)))/((F26-D26)/(E27-F26))^2)*(D91-0.5)*LN(D91/(1-D91)))),NA())))))</f>
        <v>35.366420149949697</v>
      </c>
      <c r="F91" s="51">
        <f>IF(F27&lt;&gt;"",NA(),IF(F25="u",((1/2)*(LN((1-E25)/E25))^-1*(D27-E26)/(D91*(1-D91))+((1-2*E25)*(LN((1-E25)/E25)))^-1*(1-2*(F26-E26)/(D27-E26))*(D27-E26)*((D91-0.5)/(D91*(1-D91))+LN(D91/(1-D91))))^(-1),IF(F25="sl",((1/2)*(LN((1-E25)/E25))^-1*LN((D27-D26)/(E26-D26))/(D91*(1-D91))+((1-2*E25)*(LN((1-E25)/E25)))^-1*LN(((D27-D26)*(E26-D26))/(F26-D26)^2)*((D91-0.5)/(D91*(1-D91))+LN(D91/(1-D91))))^(-1)*EXP(-(LN(F26-D26)+(1/2)*(LN((1-E25)/E25))^-1*LN((D27-D26)/(E26-D26))*LN(D91/(1-D91))+((1-2*E25)*(LN((1-E25)/E25)))^-1*LN(((D27-D26)*(E26-D26))/(F26-D26)^2)*(D91-0.5)*LN(D91/(1-D91)))),IF(F25="su",(-(1/2)*(LN((1-E25)/E25))^-1*LN((E27-D27)/(E27-E26))/(D91*(1-D91))-((1-2*E25)*(LN((1-E25)/E25)))^-1*LN(((E27-D27)*(E27-E26))/(E27-F26)^2)*((D91-0.5)/(D91*(1-D91))+LN(D91/(1-D91))))^(-1)*EXP((-LN(E27-F26)-(1/2)*(LN((1-E25)/E25))^-1*LN((E27-D27)/(E27-E26))*LN(D91/(1-D91))-((1-2*E25)*(LN((1-E25)/E25)))^-1*LN(((E27-D27)*(E27-E26))/(E27-F26)^2)*(D91-0.5)*LN(D91/(1-D91)))),IF(F25="b",((1/2)*(LN((1-E25)/E25))^-1*LN(((D27-D26)/(E27-D27))/((E26-D26)/(E27-E26)))/(D91*(1-D91))+((1-2*E25)*(LN((1-E25)/E25)))^-1*LN((((D27-D26)/(E27-D27))*((E26-D26)/(E27-E26)))/((F26-D26)/(E27-F26))^2)*((D91-0.5)/(D91*(1-D91))+LN(D91/(1-D91))))^(-1)*(1+EXP(LN((F26-D26)/(E27-F26))+(1/2)*(LN((1-E25)/E25))^-1*LN(((D27-D26)/(E27-D27))/((E26-D26)/(E27-E26)))*LN(D91/(1-D91))+((1-2*E25)*(LN((1-E25)/E25)))^-1*LN((((D27-D26)/(E27-D27))*((E26-D26)/(E27-E26)))/((F26-D26)/(E27-F26))^2)*(D91-0.5)*LN(D91/(1-D91))))^2/((E27-D26)*EXP(LN((F26-D26)/(E27-F26))+(1/2)*(LN((1-E25)/E25))^-1*LN(((D27-D26)/(E27-D27))/((E26-D26)/(E27-E26)))*LN(D91/(1-D91))+((1-2*E25)*(LN((1-E25)/E25)))^-1*LN((((D27-D26)/(E27-D27))*((E26-D26)/(E27-E26)))/((F26-D26)/(E27-F26))^2)*(D91-0.5)*LN(D91/(1-D91)))),NA())))))</f>
        <v>2.711542349610328E-2</v>
      </c>
      <c r="H91" s="71">
        <v>55</v>
      </c>
      <c r="I91" s="68">
        <f t="shared" si="4"/>
        <v>60.322226715874656</v>
      </c>
      <c r="J91" s="69">
        <f t="shared" si="5"/>
        <v>94</v>
      </c>
      <c r="K91" s="70">
        <f t="shared" si="6"/>
        <v>7.0537729122704803E-3</v>
      </c>
      <c r="M91"/>
    </row>
    <row r="92" spans="4:13" x14ac:dyDescent="0.35">
      <c r="D92" s="49">
        <f>IF(F27&lt;&gt;"",NA(),(ROW()-ROW(D40))/100)</f>
        <v>0.52</v>
      </c>
      <c r="E92" s="50">
        <f>IF(F27&lt;&gt;"",NA(),IF(F25="u",F26+(1/2)*(LN((1-E25)/E25))^-1*(D27-E26)*LN(D92/(1-D92))+((1-2*E25)*(LN((1-E25)/E25)))^-1*(1-2*(F26-E26)/(D27-E26))*(D27-E26)*(D92-0.5)*LN(D92/(1-D92)),IF(F25="sl",D26+EXP(LN(F26-D26)+(1/2)*(LN((1-E25)/E25))^-1*LN((D27-D26)/(E26-D26))*LN(D92/(1-D92))+((1-2*E25)*(LN((1-E25)/E25)))^-1*LN(((D27-D26)*(E26-D26))/(F26-D26)^2)*(D92-0.5)*LN(D92/(1-D92))),IF(F25="su",E27-EXP(-(-LN(E27-F26)-(1/2)*(LN((1-E25)/E25))^-1*LN((E27-D27)/(E27-E26))*LN(D92/(1-D92))-((1-2*E25)*(LN((1-E25)/E25)))^-1*LN(((E27-D27)*(E27-E26))/(E27-F26)^2)*(D92-0.5)*LN(D92/(1-D92)))),IF(F25="b",(D26+E27*EXP(LN((F26-D26)/(E27-F26))+(1/2)*(LN((1-E25)/E25))^-1*LN(((D27-D26)/(E27-D27))/((E26-D26)/(E27-E26)))*LN(D92/(1-D92))+((1-2*E25)*(LN((1-E25)/E25)))^-1*LN((((D27-D26)/(E27-D27))*((E26-D26)/(E27-E26)))/((F26-D26)/(E27-F26))^2)*(D92-0.5)*LN(D92/(1-D92))))/(1+EXP(LN((F26-D26)/(E27-F26))+(1/2)*(LN((1-E25)/E25))^-1*LN(((D27-D26)/(E27-D27))/((E26-D26)/(E27-E26)))*LN(D92/(1-D92))+((1-2*E25)*(LN((1-E25)/E25)))^-1*LN((((D27-D26)/(E27-D27))*((E26-D26)/(E27-E26)))/((F26-D26)/(E27-F26))^2)*(D92-0.5)*LN(D92/(1-D92)))),NA())))))</f>
        <v>35.737687374840014</v>
      </c>
      <c r="F92" s="51">
        <f>IF(F27&lt;&gt;"",NA(),IF(F25="u",((1/2)*(LN((1-E25)/E25))^-1*(D27-E26)/(D92*(1-D92))+((1-2*E25)*(LN((1-E25)/E25)))^-1*(1-2*(F26-E26)/(D27-E26))*(D27-E26)*((D92-0.5)/(D92*(1-D92))+LN(D92/(1-D92))))^(-1),IF(F25="sl",((1/2)*(LN((1-E25)/E25))^-1*LN((D27-D26)/(E26-D26))/(D92*(1-D92))+((1-2*E25)*(LN((1-E25)/E25)))^-1*LN(((D27-D26)*(E26-D26))/(F26-D26)^2)*((D92-0.5)/(D92*(1-D92))+LN(D92/(1-D92))))^(-1)*EXP(-(LN(F26-D26)+(1/2)*(LN((1-E25)/E25))^-1*LN((D27-D26)/(E26-D26))*LN(D92/(1-D92))+((1-2*E25)*(LN((1-E25)/E25)))^-1*LN(((D27-D26)*(E26-D26))/(F26-D26)^2)*(D92-0.5)*LN(D92/(1-D92)))),IF(F25="su",(-(1/2)*(LN((1-E25)/E25))^-1*LN((E27-D27)/(E27-E26))/(D92*(1-D92))-((1-2*E25)*(LN((1-E25)/E25)))^-1*LN(((E27-D27)*(E27-E26))/(E27-F26)^2)*((D92-0.5)/(D92*(1-D92))+LN(D92/(1-D92))))^(-1)*EXP((-LN(E27-F26)-(1/2)*(LN((1-E25)/E25))^-1*LN((E27-D27)/(E27-E26))*LN(D92/(1-D92))-((1-2*E25)*(LN((1-E25)/E25)))^-1*LN(((E27-D27)*(E27-E26))/(E27-F26)^2)*(D92-0.5)*LN(D92/(1-D92)))),IF(F25="b",((1/2)*(LN((1-E25)/E25))^-1*LN(((D27-D26)/(E27-D27))/((E26-D26)/(E27-E26)))/(D92*(1-D92))+((1-2*E25)*(LN((1-E25)/E25)))^-1*LN((((D27-D26)/(E27-D27))*((E26-D26)/(E27-E26)))/((F26-D26)/(E27-F26))^2)*((D92-0.5)/(D92*(1-D92))+LN(D92/(1-D92))))^(-1)*(1+EXP(LN((F26-D26)/(E27-F26))+(1/2)*(LN((1-E25)/E25))^-1*LN(((D27-D26)/(E27-D27))/((E26-D26)/(E27-E26)))*LN(D92/(1-D92))+((1-2*E25)*(LN((1-E25)/E25)))^-1*LN((((D27-D26)/(E27-D27))*((E26-D26)/(E27-E26)))/((F26-D26)/(E27-F26))^2)*(D92-0.5)*LN(D92/(1-D92))))^2/((E27-D26)*EXP(LN((F26-D26)/(E27-F26))+(1/2)*(LN((1-E25)/E25))^-1*LN(((D27-D26)/(E27-D27))/((E26-D26)/(E27-E26)))*LN(D92/(1-D92))+((1-2*E25)*(LN((1-E25)/E25)))^-1*LN((((D27-D26)/(E27-D27))*((E26-D26)/(E27-E26)))/((F26-D26)/(E27-F26))^2)*(D92-0.5)*LN(D92/(1-D92)))),NA())))))</f>
        <v>2.6752897116756044E-2</v>
      </c>
      <c r="H92" s="71">
        <v>56</v>
      </c>
      <c r="I92" s="68">
        <f t="shared" si="4"/>
        <v>61.592287145817743</v>
      </c>
      <c r="J92" s="69">
        <f t="shared" si="5"/>
        <v>95</v>
      </c>
      <c r="K92" s="70">
        <f t="shared" si="6"/>
        <v>6.4891335649156015E-3</v>
      </c>
      <c r="M92"/>
    </row>
    <row r="93" spans="4:13" x14ac:dyDescent="0.35">
      <c r="D93" s="49">
        <f>IF(F27&lt;&gt;"",NA(),(ROW()-ROW(D40))/100)</f>
        <v>0.53</v>
      </c>
      <c r="E93" s="50">
        <f>IF(F27&lt;&gt;"",NA(),IF(F25="u",F26+(1/2)*(LN((1-E25)/E25))^-1*(D27-E26)*LN(D93/(1-D93))+((1-2*E25)*(LN((1-E25)/E25)))^-1*(1-2*(F26-E26)/(D27-E26))*(D27-E26)*(D93-0.5)*LN(D93/(1-D93)),IF(F25="sl",D26+EXP(LN(F26-D26)+(1/2)*(LN((1-E25)/E25))^-1*LN((D27-D26)/(E26-D26))*LN(D93/(1-D93))+((1-2*E25)*(LN((1-E25)/E25)))^-1*LN(((D27-D26)*(E26-D26))/(F26-D26)^2)*(D93-0.5)*LN(D93/(1-D93))),IF(F25="su",E27-EXP(-(-LN(E27-F26)-(1/2)*(LN((1-E25)/E25))^-1*LN((E27-D27)/(E27-E26))*LN(D93/(1-D93))-((1-2*E25)*(LN((1-E25)/E25)))^-1*LN(((E27-D27)*(E27-E26))/(E27-F26)^2)*(D93-0.5)*LN(D93/(1-D93)))),IF(F25="b",(D26+E27*EXP(LN((F26-D26)/(E27-F26))+(1/2)*(LN((1-E25)/E25))^-1*LN(((D27-D26)/(E27-D27))/((E26-D26)/(E27-E26)))*LN(D93/(1-D93))+((1-2*E25)*(LN((1-E25)/E25)))^-1*LN((((D27-D26)/(E27-D27))*((E26-D26)/(E27-E26)))/((F26-D26)/(E27-F26))^2)*(D93-0.5)*LN(D93/(1-D93))))/(1+EXP(LN((F26-D26)/(E27-F26))+(1/2)*(LN((1-E25)/E25))^-1*LN(((D27-D26)/(E27-D27))/((E26-D26)/(E27-E26)))*LN(D93/(1-D93))+((1-2*E25)*(LN((1-E25)/E25)))^-1*LN((((D27-D26)/(E27-D27))*((E26-D26)/(E27-E26)))/((F26-D26)/(E27-F26))^2)*(D93-0.5)*LN(D93/(1-D93)))),NA())))))</f>
        <v>36.114105667227591</v>
      </c>
      <c r="F93" s="51">
        <f>IF(F27&lt;&gt;"",NA(),IF(F25="u",((1/2)*(LN((1-E25)/E25))^-1*(D27-E26)/(D93*(1-D93))+((1-2*E25)*(LN((1-E25)/E25)))^-1*(1-2*(F26-E26)/(D27-E26))*(D27-E26)*((D93-0.5)/(D93*(1-D93))+LN(D93/(1-D93))))^(-1),IF(F25="sl",((1/2)*(LN((1-E25)/E25))^-1*LN((D27-D26)/(E26-D26))/(D93*(1-D93))+((1-2*E25)*(LN((1-E25)/E25)))^-1*LN(((D27-D26)*(E26-D26))/(F26-D26)^2)*((D93-0.5)/(D93*(1-D93))+LN(D93/(1-D93))))^(-1)*EXP(-(LN(F26-D26)+(1/2)*(LN((1-E25)/E25))^-1*LN((D27-D26)/(E26-D26))*LN(D93/(1-D93))+((1-2*E25)*(LN((1-E25)/E25)))^-1*LN(((D27-D26)*(E26-D26))/(F26-D26)^2)*(D93-0.5)*LN(D93/(1-D93)))),IF(F25="su",(-(1/2)*(LN((1-E25)/E25))^-1*LN((E27-D27)/(E27-E26))/(D93*(1-D93))-((1-2*E25)*(LN((1-E25)/E25)))^-1*LN(((E27-D27)*(E27-E26))/(E27-F26)^2)*((D93-0.5)/(D93*(1-D93))+LN(D93/(1-D93))))^(-1)*EXP((-LN(E27-F26)-(1/2)*(LN((1-E25)/E25))^-1*LN((E27-D27)/(E27-E26))*LN(D93/(1-D93))-((1-2*E25)*(LN((1-E25)/E25)))^-1*LN(((E27-D27)*(E27-E26))/(E27-F26)^2)*(D93-0.5)*LN(D93/(1-D93)))),IF(F25="b",((1/2)*(LN((1-E25)/E25))^-1*LN(((D27-D26)/(E27-D27))/((E26-D26)/(E27-E26)))/(D93*(1-D93))+((1-2*E25)*(LN((1-E25)/E25)))^-1*LN((((D27-D26)/(E27-D27))*((E26-D26)/(E27-E26)))/((F26-D26)/(E27-F26))^2)*((D93-0.5)/(D93*(1-D93))+LN(D93/(1-D93))))^(-1)*(1+EXP(LN((F26-D26)/(E27-F26))+(1/2)*(LN((1-E25)/E25))^-1*LN(((D27-D26)/(E27-D27))/((E26-D26)/(E27-E26)))*LN(D93/(1-D93))+((1-2*E25)*(LN((1-E25)/E25)))^-1*LN((((D27-D26)/(E27-D27))*((E26-D26)/(E27-E26)))/((F26-D26)/(E27-F26))^2)*(D93-0.5)*LN(D93/(1-D93))))^2/((E27-D26)*EXP(LN((F26-D26)/(E27-F26))+(1/2)*(LN((1-E25)/E25))^-1*LN(((D27-D26)/(E27-D27))/((E26-D26)/(E27-E26)))*LN(D93/(1-D93))+((1-2*E25)*(LN((1-E25)/E25)))^-1*LN((((D27-D26)/(E27-D27))*((E26-D26)/(E27-E26)))/((F26-D26)/(E27-F26))^2)*(D93-0.5)*LN(D93/(1-D93)))),NA())))))</f>
        <v>2.6378428911813013E-2</v>
      </c>
      <c r="H93" s="71">
        <v>57</v>
      </c>
      <c r="I93" s="68">
        <f t="shared" si="4"/>
        <v>62.862347575760829</v>
      </c>
      <c r="J93" s="69">
        <f t="shared" si="5"/>
        <v>95</v>
      </c>
      <c r="K93" s="70">
        <f t="shared" si="6"/>
        <v>5.9655460867568833E-3</v>
      </c>
      <c r="M93"/>
    </row>
    <row r="94" spans="4:13" x14ac:dyDescent="0.35">
      <c r="D94" s="49">
        <f>IF(F27&lt;&gt;"",NA(),(ROW()-ROW(D40))/100)</f>
        <v>0.54</v>
      </c>
      <c r="E94" s="50">
        <f>IF(F27&lt;&gt;"",NA(),IF(F25="u",F26+(1/2)*(LN((1-E25)/E25))^-1*(D27-E26)*LN(D94/(1-D94))+((1-2*E25)*(LN((1-E25)/E25)))^-1*(1-2*(F26-E26)/(D27-E26))*(D27-E26)*(D94-0.5)*LN(D94/(1-D94)),IF(F25="sl",D26+EXP(LN(F26-D26)+(1/2)*(LN((1-E25)/E25))^-1*LN((D27-D26)/(E26-D26))*LN(D94/(1-D94))+((1-2*E25)*(LN((1-E25)/E25)))^-1*LN(((D27-D26)*(E26-D26))/(F26-D26)^2)*(D94-0.5)*LN(D94/(1-D94))),IF(F25="su",E27-EXP(-(-LN(E27-F26)-(1/2)*(LN((1-E25)/E25))^-1*LN((E27-D27)/(E27-E26))*LN(D94/(1-D94))-((1-2*E25)*(LN((1-E25)/E25)))^-1*LN(((E27-D27)*(E27-E26))/(E27-F26)^2)*(D94-0.5)*LN(D94/(1-D94)))),IF(F25="b",(D26+E27*EXP(LN((F26-D26)/(E27-F26))+(1/2)*(LN((1-E25)/E25))^-1*LN(((D27-D26)/(E27-D27))/((E26-D26)/(E27-E26)))*LN(D94/(1-D94))+((1-2*E25)*(LN((1-E25)/E25)))^-1*LN((((D27-D26)/(E27-D27))*((E26-D26)/(E27-E26)))/((F26-D26)/(E27-F26))^2)*(D94-0.5)*LN(D94/(1-D94))))/(1+EXP(LN((F26-D26)/(E27-F26))+(1/2)*(LN((1-E25)/E25))^-1*LN(((D27-D26)/(E27-D27))/((E26-D26)/(E27-E26)))*LN(D94/(1-D94))+((1-2*E25)*(LN((1-E25)/E25)))^-1*LN((((D27-D26)/(E27-D27))*((E26-D26)/(E27-E26)))/((F26-D26)/(E27-F26))^2)*(D94-0.5)*LN(D94/(1-D94)))),NA())))))</f>
        <v>36.495989240447223</v>
      </c>
      <c r="F94" s="51">
        <f>IF(F27&lt;&gt;"",NA(),IF(F25="u",((1/2)*(LN((1-E25)/E25))^-1*(D27-E26)/(D94*(1-D94))+((1-2*E25)*(LN((1-E25)/E25)))^-1*(1-2*(F26-E26)/(D27-E26))*(D27-E26)*((D94-0.5)/(D94*(1-D94))+LN(D94/(1-D94))))^(-1),IF(F25="sl",((1/2)*(LN((1-E25)/E25))^-1*LN((D27-D26)/(E26-D26))/(D94*(1-D94))+((1-2*E25)*(LN((1-E25)/E25)))^-1*LN(((D27-D26)*(E26-D26))/(F26-D26)^2)*((D94-0.5)/(D94*(1-D94))+LN(D94/(1-D94))))^(-1)*EXP(-(LN(F26-D26)+(1/2)*(LN((1-E25)/E25))^-1*LN((D27-D26)/(E26-D26))*LN(D94/(1-D94))+((1-2*E25)*(LN((1-E25)/E25)))^-1*LN(((D27-D26)*(E26-D26))/(F26-D26)^2)*(D94-0.5)*LN(D94/(1-D94)))),IF(F25="su",(-(1/2)*(LN((1-E25)/E25))^-1*LN((E27-D27)/(E27-E26))/(D94*(1-D94))-((1-2*E25)*(LN((1-E25)/E25)))^-1*LN(((E27-D27)*(E27-E26))/(E27-F26)^2)*((D94-0.5)/(D94*(1-D94))+LN(D94/(1-D94))))^(-1)*EXP((-LN(E27-F26)-(1/2)*(LN((1-E25)/E25))^-1*LN((E27-D27)/(E27-E26))*LN(D94/(1-D94))-((1-2*E25)*(LN((1-E25)/E25)))^-1*LN(((E27-D27)*(E27-E26))/(E27-F26)^2)*(D94-0.5)*LN(D94/(1-D94)))),IF(F25="b",((1/2)*(LN((1-E25)/E25))^-1*LN(((D27-D26)/(E27-D27))/((E26-D26)/(E27-E26)))/(D94*(1-D94))+((1-2*E25)*(LN((1-E25)/E25)))^-1*LN((((D27-D26)/(E27-D27))*((E26-D26)/(E27-E26)))/((F26-D26)/(E27-F26))^2)*((D94-0.5)/(D94*(1-D94))+LN(D94/(1-D94))))^(-1)*(1+EXP(LN((F26-D26)/(E27-F26))+(1/2)*(LN((1-E25)/E25))^-1*LN(((D27-D26)/(E27-D27))/((E26-D26)/(E27-E26)))*LN(D94/(1-D94))+((1-2*E25)*(LN((1-E25)/E25)))^-1*LN((((D27-D26)/(E27-D27))*((E26-D26)/(E27-E26)))/((F26-D26)/(E27-F26))^2)*(D94-0.5)*LN(D94/(1-D94))))^2/((E27-D26)*EXP(LN((F26-D26)/(E27-F26))+(1/2)*(LN((1-E25)/E25))^-1*LN(((D27-D26)/(E27-D27))/((E26-D26)/(E27-E26)))*LN(D94/(1-D94))+((1-2*E25)*(LN((1-E25)/E25)))^-1*LN((((D27-D26)/(E27-D27))*((E26-D26)/(E27-E26)))/((F26-D26)/(E27-F26))^2)*(D94-0.5)*LN(D94/(1-D94)))),NA())))))</f>
        <v>2.5992671772196625E-2</v>
      </c>
      <c r="H94" s="71">
        <v>58</v>
      </c>
      <c r="I94" s="68">
        <f t="shared" si="4"/>
        <v>64.132408005703908</v>
      </c>
      <c r="J94" s="69">
        <f t="shared" si="5"/>
        <v>96</v>
      </c>
      <c r="K94" s="70">
        <f t="shared" si="6"/>
        <v>5.4823750179699617E-3</v>
      </c>
      <c r="M94"/>
    </row>
    <row r="95" spans="4:13" x14ac:dyDescent="0.35">
      <c r="D95" s="49">
        <f>IF(F27&lt;&gt;"",NA(),(ROW()-ROW(D40))/100)</f>
        <v>0.55000000000000004</v>
      </c>
      <c r="E95" s="50">
        <f>IF(F27&lt;&gt;"",NA(),IF(F25="u",F26+(1/2)*(LN((1-E25)/E25))^-1*(D27-E26)*LN(D95/(1-D95))+((1-2*E25)*(LN((1-E25)/E25)))^-1*(1-2*(F26-E26)/(D27-E26))*(D27-E26)*(D95-0.5)*LN(D95/(1-D95)),IF(F25="sl",D26+EXP(LN(F26-D26)+(1/2)*(LN((1-E25)/E25))^-1*LN((D27-D26)/(E26-D26))*LN(D95/(1-D95))+((1-2*E25)*(LN((1-E25)/E25)))^-1*LN(((D27-D26)*(E26-D26))/(F26-D26)^2)*(D95-0.5)*LN(D95/(1-D95))),IF(F25="su",E27-EXP(-(-LN(E27-F26)-(1/2)*(LN((1-E25)/E25))^-1*LN((E27-D27)/(E27-E26))*LN(D95/(1-D95))-((1-2*E25)*(LN((1-E25)/E25)))^-1*LN(((E27-D27)*(E27-E26))/(E27-F26)^2)*(D95-0.5)*LN(D95/(1-D95)))),IF(F25="b",(D26+E27*EXP(LN((F26-D26)/(E27-F26))+(1/2)*(LN((1-E25)/E25))^-1*LN(((D27-D26)/(E27-D27))/((E26-D26)/(E27-E26)))*LN(D95/(1-D95))+((1-2*E25)*(LN((1-E25)/E25)))^-1*LN((((D27-D26)/(E27-D27))*((E26-D26)/(E27-E26)))/((F26-D26)/(E27-F26))^2)*(D95-0.5)*LN(D95/(1-D95))))/(1+EXP(LN((F26-D26)/(E27-F26))+(1/2)*(LN((1-E25)/E25))^-1*LN(((D27-D26)/(E27-D27))/((E26-D26)/(E27-E26)))*LN(D95/(1-D95))+((1-2*E25)*(LN((1-E25)/E25)))^-1*LN((((D27-D26)/(E27-D27))*((E26-D26)/(E27-E26)))/((F26-D26)/(E27-F26))^2)*(D95-0.5)*LN(D95/(1-D95)))),NA())))))</f>
        <v>36.883664117267678</v>
      </c>
      <c r="F95" s="51">
        <f>IF(F27&lt;&gt;"",NA(),IF(F25="u",((1/2)*(LN((1-E25)/E25))^-1*(D27-E26)/(D95*(1-D95))+((1-2*E25)*(LN((1-E25)/E25)))^-1*(1-2*(F26-E26)/(D27-E26))*(D27-E26)*((D95-0.5)/(D95*(1-D95))+LN(D95/(1-D95))))^(-1),IF(F25="sl",((1/2)*(LN((1-E25)/E25))^-1*LN((D27-D26)/(E26-D26))/(D95*(1-D95))+((1-2*E25)*(LN((1-E25)/E25)))^-1*LN(((D27-D26)*(E26-D26))/(F26-D26)^2)*((D95-0.5)/(D95*(1-D95))+LN(D95/(1-D95))))^(-1)*EXP(-(LN(F26-D26)+(1/2)*(LN((1-E25)/E25))^-1*LN((D27-D26)/(E26-D26))*LN(D95/(1-D95))+((1-2*E25)*(LN((1-E25)/E25)))^-1*LN(((D27-D26)*(E26-D26))/(F26-D26)^2)*(D95-0.5)*LN(D95/(1-D95)))),IF(F25="su",(-(1/2)*(LN((1-E25)/E25))^-1*LN((E27-D27)/(E27-E26))/(D95*(1-D95))-((1-2*E25)*(LN((1-E25)/E25)))^-1*LN(((E27-D27)*(E27-E26))/(E27-F26)^2)*((D95-0.5)/(D95*(1-D95))+LN(D95/(1-D95))))^(-1)*EXP((-LN(E27-F26)-(1/2)*(LN((1-E25)/E25))^-1*LN((E27-D27)/(E27-E26))*LN(D95/(1-D95))-((1-2*E25)*(LN((1-E25)/E25)))^-1*LN(((E27-D27)*(E27-E26))/(E27-F26)^2)*(D95-0.5)*LN(D95/(1-D95)))),IF(F25="b",((1/2)*(LN((1-E25)/E25))^-1*LN(((D27-D26)/(E27-D27))/((E26-D26)/(E27-E26)))/(D95*(1-D95))+((1-2*E25)*(LN((1-E25)/E25)))^-1*LN((((D27-D26)/(E27-D27))*((E26-D26)/(E27-E26)))/((F26-D26)/(E27-F26))^2)*((D95-0.5)/(D95*(1-D95))+LN(D95/(1-D95))))^(-1)*(1+EXP(LN((F26-D26)/(E27-F26))+(1/2)*(LN((1-E25)/E25))^-1*LN(((D27-D26)/(E27-D27))/((E26-D26)/(E27-E26)))*LN(D95/(1-D95))+((1-2*E25)*(LN((1-E25)/E25)))^-1*LN((((D27-D26)/(E27-D27))*((E26-D26)/(E27-E26)))/((F26-D26)/(E27-F26))^2)*(D95-0.5)*LN(D95/(1-D95))))^2/((E27-D26)*EXP(LN((F26-D26)/(E27-F26))+(1/2)*(LN((1-E25)/E25))^-1*LN(((D27-D26)/(E27-D27))/((E26-D26)/(E27-E26)))*LN(D95/(1-D95))+((1-2*E25)*(LN((1-E25)/E25)))^-1*LN((((D27-D26)/(E27-D27))*((E26-D26)/(E27-E26)))/((F26-D26)/(E27-F26))^2)*(D95-0.5)*LN(D95/(1-D95)))),NA())))))</f>
        <v>2.5596232850923731E-2</v>
      </c>
      <c r="H95" s="71">
        <v>59</v>
      </c>
      <c r="I95" s="68">
        <f t="shared" si="4"/>
        <v>65.402468435646995</v>
      </c>
      <c r="J95" s="69">
        <f t="shared" si="5"/>
        <v>97</v>
      </c>
      <c r="K95" s="70">
        <f t="shared" si="6"/>
        <v>5.0280872203875785E-3</v>
      </c>
      <c r="M95"/>
    </row>
    <row r="96" spans="4:13" x14ac:dyDescent="0.35">
      <c r="D96" s="49">
        <f>IF(F27&lt;&gt;"",NA(),(ROW()-ROW(D40))/100)</f>
        <v>0.56000000000000005</v>
      </c>
      <c r="E96" s="50">
        <f>IF(F27&lt;&gt;"",NA(),IF(F25="u",F26+(1/2)*(LN((1-E25)/E25))^-1*(D27-E26)*LN(D96/(1-D96))+((1-2*E25)*(LN((1-E25)/E25)))^-1*(1-2*(F26-E26)/(D27-E26))*(D27-E26)*(D96-0.5)*LN(D96/(1-D96)),IF(F25="sl",D26+EXP(LN(F26-D26)+(1/2)*(LN((1-E25)/E25))^-1*LN((D27-D26)/(E26-D26))*LN(D96/(1-D96))+((1-2*E25)*(LN((1-E25)/E25)))^-1*LN(((D27-D26)*(E26-D26))/(F26-D26)^2)*(D96-0.5)*LN(D96/(1-D96))),IF(F25="su",E27-EXP(-(-LN(E27-F26)-(1/2)*(LN((1-E25)/E25))^-1*LN((E27-D27)/(E27-E26))*LN(D96/(1-D96))-((1-2*E25)*(LN((1-E25)/E25)))^-1*LN(((E27-D27)*(E27-E26))/(E27-F26)^2)*(D96-0.5)*LN(D96/(1-D96)))),IF(F25="b",(D26+E27*EXP(LN((F26-D26)/(E27-F26))+(1/2)*(LN((1-E25)/E25))^-1*LN(((D27-D26)/(E27-D27))/((E26-D26)/(E27-E26)))*LN(D96/(1-D96))+((1-2*E25)*(LN((1-E25)/E25)))^-1*LN((((D27-D26)/(E27-D27))*((E26-D26)/(E27-E26)))/((F26-D26)/(E27-F26))^2)*(D96-0.5)*LN(D96/(1-D96))))/(1+EXP(LN((F26-D26)/(E27-F26))+(1/2)*(LN((1-E25)/E25))^-1*LN(((D27-D26)/(E27-D27))/((E26-D26)/(E27-E26)))*LN(D96/(1-D96))+((1-2*E25)*(LN((1-E25)/E25)))^-1*LN((((D27-D26)/(E27-D27))*((E26-D26)/(E27-E26)))/((F26-D26)/(E27-F26))^2)*(D96-0.5)*LN(D96/(1-D96)))),NA())))))</f>
        <v>37.277469827420695</v>
      </c>
      <c r="F96" s="51">
        <f>IF(F27&lt;&gt;"",NA(),IF(F25="u",((1/2)*(LN((1-E25)/E25))^-1*(D27-E26)/(D96*(1-D96))+((1-2*E25)*(LN((1-E25)/E25)))^-1*(1-2*(F26-E26)/(D27-E26))*(D27-E26)*((D96-0.5)/(D96*(1-D96))+LN(D96/(1-D96))))^(-1),IF(F25="sl",((1/2)*(LN((1-E25)/E25))^-1*LN((D27-D26)/(E26-D26))/(D96*(1-D96))+((1-2*E25)*(LN((1-E25)/E25)))^-1*LN(((D27-D26)*(E26-D26))/(F26-D26)^2)*((D96-0.5)/(D96*(1-D96))+LN(D96/(1-D96))))^(-1)*EXP(-(LN(F26-D26)+(1/2)*(LN((1-E25)/E25))^-1*LN((D27-D26)/(E26-D26))*LN(D96/(1-D96))+((1-2*E25)*(LN((1-E25)/E25)))^-1*LN(((D27-D26)*(E26-D26))/(F26-D26)^2)*(D96-0.5)*LN(D96/(1-D96)))),IF(F25="su",(-(1/2)*(LN((1-E25)/E25))^-1*LN((E27-D27)/(E27-E26))/(D96*(1-D96))-((1-2*E25)*(LN((1-E25)/E25)))^-1*LN(((E27-D27)*(E27-E26))/(E27-F26)^2)*((D96-0.5)/(D96*(1-D96))+LN(D96/(1-D96))))^(-1)*EXP((-LN(E27-F26)-(1/2)*(LN((1-E25)/E25))^-1*LN((E27-D27)/(E27-E26))*LN(D96/(1-D96))-((1-2*E25)*(LN((1-E25)/E25)))^-1*LN(((E27-D27)*(E27-E26))/(E27-F26)^2)*(D96-0.5)*LN(D96/(1-D96)))),IF(F25="b",((1/2)*(LN((1-E25)/E25))^-1*LN(((D27-D26)/(E27-D27))/((E26-D26)/(E27-E26)))/(D96*(1-D96))+((1-2*E25)*(LN((1-E25)/E25)))^-1*LN((((D27-D26)/(E27-D27))*((E26-D26)/(E27-E26)))/((F26-D26)/(E27-F26))^2)*((D96-0.5)/(D96*(1-D96))+LN(D96/(1-D96))))^(-1)*(1+EXP(LN((F26-D26)/(E27-F26))+(1/2)*(LN((1-E25)/E25))^-1*LN(((D27-D26)/(E27-D27))/((E26-D26)/(E27-E26)))*LN(D96/(1-D96))+((1-2*E25)*(LN((1-E25)/E25)))^-1*LN((((D27-D26)/(E27-D27))*((E26-D26)/(E27-E26)))/((F26-D26)/(E27-F26))^2)*(D96-0.5)*LN(D96/(1-D96))))^2/((E27-D26)*EXP(LN((F26-D26)/(E27-F26))+(1/2)*(LN((1-E25)/E25))^-1*LN(((D27-D26)/(E27-D27))/((E26-D26)/(E27-E26)))*LN(D96/(1-D96))+((1-2*E25)*(LN((1-E25)/E25)))^-1*LN((((D27-D26)/(E27-D27))*((E26-D26)/(E27-E26)))/((F26-D26)/(E27-F26))^2)*(D96-0.5)*LN(D96/(1-D96)))),NA())))))</f>
        <v>2.5189675679219453E-2</v>
      </c>
      <c r="H96" s="71">
        <v>60</v>
      </c>
      <c r="I96" s="68">
        <f t="shared" si="4"/>
        <v>66.672528865590081</v>
      </c>
      <c r="J96" s="69">
        <f t="shared" si="5"/>
        <v>97</v>
      </c>
      <c r="K96" s="70">
        <f t="shared" si="6"/>
        <v>4.6033279994246818E-3</v>
      </c>
      <c r="M96"/>
    </row>
    <row r="97" spans="4:13" x14ac:dyDescent="0.35">
      <c r="D97" s="49">
        <f>IF(F27&lt;&gt;"",NA(),(ROW()-ROW(D40))/100)</f>
        <v>0.56999999999999995</v>
      </c>
      <c r="E97" s="50">
        <f>IF(F27&lt;&gt;"",NA(),IF(F25="u",F26+(1/2)*(LN((1-E25)/E25))^-1*(D27-E26)*LN(D97/(1-D97))+((1-2*E25)*(LN((1-E25)/E25)))^-1*(1-2*(F26-E26)/(D27-E26))*(D27-E26)*(D97-0.5)*LN(D97/(1-D97)),IF(F25="sl",D26+EXP(LN(F26-D26)+(1/2)*(LN((1-E25)/E25))^-1*LN((D27-D26)/(E26-D26))*LN(D97/(1-D97))+((1-2*E25)*(LN((1-E25)/E25)))^-1*LN(((D27-D26)*(E26-D26))/(F26-D26)^2)*(D97-0.5)*LN(D97/(1-D97))),IF(F25="su",E27-EXP(-(-LN(E27-F26)-(1/2)*(LN((1-E25)/E25))^-1*LN((E27-D27)/(E27-E26))*LN(D97/(1-D97))-((1-2*E25)*(LN((1-E25)/E25)))^-1*LN(((E27-D27)*(E27-E26))/(E27-F26)^2)*(D97-0.5)*LN(D97/(1-D97)))),IF(F25="b",(D26+E27*EXP(LN((F26-D26)/(E27-F26))+(1/2)*(LN((1-E25)/E25))^-1*LN(((D27-D26)/(E27-D27))/((E26-D26)/(E27-E26)))*LN(D97/(1-D97))+((1-2*E25)*(LN((1-E25)/E25)))^-1*LN((((D27-D26)/(E27-D27))*((E26-D26)/(E27-E26)))/((F26-D26)/(E27-F26))^2)*(D97-0.5)*LN(D97/(1-D97))))/(1+EXP(LN((F26-D26)/(E27-F26))+(1/2)*(LN((1-E25)/E25))^-1*LN(((D27-D26)/(E27-D27))/((E26-D26)/(E27-E26)))*LN(D97/(1-D97))+((1-2*E25)*(LN((1-E25)/E25)))^-1*LN((((D27-D26)/(E27-D27))*((E26-D26)/(E27-E26)))/((F26-D26)/(E27-F26))^2)*(D97-0.5)*LN(D97/(1-D97)))),NA())))))</f>
        <v>37.677761236439508</v>
      </c>
      <c r="F97" s="51">
        <f>IF(F27&lt;&gt;"",NA(),IF(F25="u",((1/2)*(LN((1-E25)/E25))^-1*(D27-E26)/(D97*(1-D97))+((1-2*E25)*(LN((1-E25)/E25)))^-1*(1-2*(F26-E26)/(D27-E26))*(D27-E26)*((D97-0.5)/(D97*(1-D97))+LN(D97/(1-D97))))^(-1),IF(F25="sl",((1/2)*(LN((1-E25)/E25))^-1*LN((D27-D26)/(E26-D26))/(D97*(1-D97))+((1-2*E25)*(LN((1-E25)/E25)))^-1*LN(((D27-D26)*(E26-D26))/(F26-D26)^2)*((D97-0.5)/(D97*(1-D97))+LN(D97/(1-D97))))^(-1)*EXP(-(LN(F26-D26)+(1/2)*(LN((1-E25)/E25))^-1*LN((D27-D26)/(E26-D26))*LN(D97/(1-D97))+((1-2*E25)*(LN((1-E25)/E25)))^-1*LN(((D27-D26)*(E26-D26))/(F26-D26)^2)*(D97-0.5)*LN(D97/(1-D97)))),IF(F25="su",(-(1/2)*(LN((1-E25)/E25))^-1*LN((E27-D27)/(E27-E26))/(D97*(1-D97))-((1-2*E25)*(LN((1-E25)/E25)))^-1*LN(((E27-D27)*(E27-E26))/(E27-F26)^2)*((D97-0.5)/(D97*(1-D97))+LN(D97/(1-D97))))^(-1)*EXP((-LN(E27-F26)-(1/2)*(LN((1-E25)/E25))^-1*LN((E27-D27)/(E27-E26))*LN(D97/(1-D97))-((1-2*E25)*(LN((1-E25)/E25)))^-1*LN(((E27-D27)*(E27-E26))/(E27-F26)^2)*(D97-0.5)*LN(D97/(1-D97)))),IF(F25="b",((1/2)*(LN((1-E25)/E25))^-1*LN(((D27-D26)/(E27-D27))/((E26-D26)/(E27-E26)))/(D97*(1-D97))+((1-2*E25)*(LN((1-E25)/E25)))^-1*LN((((D27-D26)/(E27-D27))*((E26-D26)/(E27-E26)))/((F26-D26)/(E27-F26))^2)*((D97-0.5)/(D97*(1-D97))+LN(D97/(1-D97))))^(-1)*(1+EXP(LN((F26-D26)/(E27-F26))+(1/2)*(LN((1-E25)/E25))^-1*LN(((D27-D26)/(E27-D27))/((E26-D26)/(E27-E26)))*LN(D97/(1-D97))+((1-2*E25)*(LN((1-E25)/E25)))^-1*LN((((D27-D26)/(E27-D27))*((E26-D26)/(E27-E26)))/((F26-D26)/(E27-F26))^2)*(D97-0.5)*LN(D97/(1-D97))))^2/((E27-D26)*EXP(LN((F26-D26)/(E27-F26))+(1/2)*(LN((1-E25)/E25))^-1*LN(((D27-D26)/(E27-D27))/((E26-D26)/(E27-E26)))*LN(D97/(1-D97))+((1-2*E25)*(LN((1-E25)/E25)))^-1*LN((((D27-D26)/(E27-D27))*((E26-D26)/(E27-E26)))/((F26-D26)/(E27-F26))^2)*(D97-0.5)*LN(D97/(1-D97)))),NA())))))</f>
        <v>2.4773522187947289E-2</v>
      </c>
      <c r="H97" s="71">
        <v>61</v>
      </c>
      <c r="I97" s="68">
        <f t="shared" si="4"/>
        <v>67.942589295533168</v>
      </c>
      <c r="J97" s="69">
        <f t="shared" si="5"/>
        <v>98</v>
      </c>
      <c r="K97" s="70">
        <f t="shared" si="6"/>
        <v>4.2210842818095869E-3</v>
      </c>
      <c r="M97"/>
    </row>
    <row r="98" spans="4:13" x14ac:dyDescent="0.35">
      <c r="D98" s="49">
        <f>IF(F27&lt;&gt;"",NA(),(ROW()-ROW(D40))/100)</f>
        <v>0.57999999999999996</v>
      </c>
      <c r="E98" s="50">
        <f>IF(F27&lt;&gt;"",NA(),IF(F25="u",F26+(1/2)*(LN((1-E25)/E25))^-1*(D27-E26)*LN(D98/(1-D98))+((1-2*E25)*(LN((1-E25)/E25)))^-1*(1-2*(F26-E26)/(D27-E26))*(D27-E26)*(D98-0.5)*LN(D98/(1-D98)),IF(F25="sl",D26+EXP(LN(F26-D26)+(1/2)*(LN((1-E25)/E25))^-1*LN((D27-D26)/(E26-D26))*LN(D98/(1-D98))+((1-2*E25)*(LN((1-E25)/E25)))^-1*LN(((D27-D26)*(E26-D26))/(F26-D26)^2)*(D98-0.5)*LN(D98/(1-D98))),IF(F25="su",E27-EXP(-(-LN(E27-F26)-(1/2)*(LN((1-E25)/E25))^-1*LN((E27-D27)/(E27-E26))*LN(D98/(1-D98))-((1-2*E25)*(LN((1-E25)/E25)))^-1*LN(((E27-D27)*(E27-E26))/(E27-F26)^2)*(D98-0.5)*LN(D98/(1-D98)))),IF(F25="b",(D26+E27*EXP(LN((F26-D26)/(E27-F26))+(1/2)*(LN((1-E25)/E25))^-1*LN(((D27-D26)/(E27-D27))/((E26-D26)/(E27-E26)))*LN(D98/(1-D98))+((1-2*E25)*(LN((1-E25)/E25)))^-1*LN((((D27-D26)/(E27-D27))*((E26-D26)/(E27-E26)))/((F26-D26)/(E27-F26))^2)*(D98-0.5)*LN(D98/(1-D98))))/(1+EXP(LN((F26-D26)/(E27-F26))+(1/2)*(LN((1-E25)/E25))^-1*LN(((D27-D26)/(E27-D27))/((E26-D26)/(E27-E26)))*LN(D98/(1-D98))+((1-2*E25)*(LN((1-E25)/E25)))^-1*LN((((D27-D26)/(E27-D27))*((E26-D26)/(E27-E26)))/((F26-D26)/(E27-F26))^2)*(D98-0.5)*LN(D98/(1-D98)))),NA())))))</f>
        <v>38.084910530967022</v>
      </c>
      <c r="F98" s="51">
        <f>IF(F27&lt;&gt;"",NA(),IF(F25="u",((1/2)*(LN((1-E25)/E25))^-1*(D27-E26)/(D98*(1-D98))+((1-2*E25)*(LN((1-E25)/E25)))^-1*(1-2*(F26-E26)/(D27-E26))*(D27-E26)*((D98-0.5)/(D98*(1-D98))+LN(D98/(1-D98))))^(-1),IF(F25="sl",((1/2)*(LN((1-E25)/E25))^-1*LN((D27-D26)/(E26-D26))/(D98*(1-D98))+((1-2*E25)*(LN((1-E25)/E25)))^-1*LN(((D27-D26)*(E26-D26))/(F26-D26)^2)*((D98-0.5)/(D98*(1-D98))+LN(D98/(1-D98))))^(-1)*EXP(-(LN(F26-D26)+(1/2)*(LN((1-E25)/E25))^-1*LN((D27-D26)/(E26-D26))*LN(D98/(1-D98))+((1-2*E25)*(LN((1-E25)/E25)))^-1*LN(((D27-D26)*(E26-D26))/(F26-D26)^2)*(D98-0.5)*LN(D98/(1-D98)))),IF(F25="su",(-(1/2)*(LN((1-E25)/E25))^-1*LN((E27-D27)/(E27-E26))/(D98*(1-D98))-((1-2*E25)*(LN((1-E25)/E25)))^-1*LN(((E27-D27)*(E27-E26))/(E27-F26)^2)*((D98-0.5)/(D98*(1-D98))+LN(D98/(1-D98))))^(-1)*EXP((-LN(E27-F26)-(1/2)*(LN((1-E25)/E25))^-1*LN((E27-D27)/(E27-E26))*LN(D98/(1-D98))-((1-2*E25)*(LN((1-E25)/E25)))^-1*LN(((E27-D27)*(E27-E26))/(E27-F26)^2)*(D98-0.5)*LN(D98/(1-D98)))),IF(F25="b",((1/2)*(LN((1-E25)/E25))^-1*LN(((D27-D26)/(E27-D27))/((E26-D26)/(E27-E26)))/(D98*(1-D98))+((1-2*E25)*(LN((1-E25)/E25)))^-1*LN((((D27-D26)/(E27-D27))*((E26-D26)/(E27-E26)))/((F26-D26)/(E27-F26))^2)*((D98-0.5)/(D98*(1-D98))+LN(D98/(1-D98))))^(-1)*(1+EXP(LN((F26-D26)/(E27-F26))+(1/2)*(LN((1-E25)/E25))^-1*LN(((D27-D26)/(E27-D27))/((E26-D26)/(E27-E26)))*LN(D98/(1-D98))+((1-2*E25)*(LN((1-E25)/E25)))^-1*LN((((D27-D26)/(E27-D27))*((E26-D26)/(E27-E26)))/((F26-D26)/(E27-F26))^2)*(D98-0.5)*LN(D98/(1-D98))))^2/((E27-D26)*EXP(LN((F26-D26)/(E27-F26))+(1/2)*(LN((1-E25)/E25))^-1*LN(((D27-D26)/(E27-D27))/((E26-D26)/(E27-E26)))*LN(D98/(1-D98))+((1-2*E25)*(LN((1-E25)/E25)))^-1*LN((((D27-D26)/(E27-D27))*((E26-D26)/(E27-E26)))/((F26-D26)/(E27-F26))^2)*(D98-0.5)*LN(D98/(1-D98)))),NA())))))</f>
        <v>2.4348254629447608E-2</v>
      </c>
      <c r="H98" s="71">
        <v>62</v>
      </c>
      <c r="I98" s="68">
        <f t="shared" si="4"/>
        <v>69.212649725476254</v>
      </c>
      <c r="J98" s="69">
        <f t="shared" si="5"/>
        <v>98</v>
      </c>
      <c r="K98" s="70">
        <f t="shared" si="6"/>
        <v>3.8498137351157132E-3</v>
      </c>
      <c r="M98"/>
    </row>
    <row r="99" spans="4:13" x14ac:dyDescent="0.35">
      <c r="D99" s="49">
        <f>IF(F27&lt;&gt;"",NA(),(ROW()-ROW(D40))/100)</f>
        <v>0.59</v>
      </c>
      <c r="E99" s="50">
        <f>IF(F27&lt;&gt;"",NA(),IF(F25="u",F26+(1/2)*(LN((1-E25)/E25))^-1*(D27-E26)*LN(D99/(1-D99))+((1-2*E25)*(LN((1-E25)/E25)))^-1*(1-2*(F26-E26)/(D27-E26))*(D27-E26)*(D99-0.5)*LN(D99/(1-D99)),IF(F25="sl",D26+EXP(LN(F26-D26)+(1/2)*(LN((1-E25)/E25))^-1*LN((D27-D26)/(E26-D26))*LN(D99/(1-D99))+((1-2*E25)*(LN((1-E25)/E25)))^-1*LN(((D27-D26)*(E26-D26))/(F26-D26)^2)*(D99-0.5)*LN(D99/(1-D99))),IF(F25="su",E27-EXP(-(-LN(E27-F26)-(1/2)*(LN((1-E25)/E25))^-1*LN((E27-D27)/(E27-E26))*LN(D99/(1-D99))-((1-2*E25)*(LN((1-E25)/E25)))^-1*LN(((E27-D27)*(E27-E26))/(E27-F26)^2)*(D99-0.5)*LN(D99/(1-D99)))),IF(F25="b",(D26+E27*EXP(LN((F26-D26)/(E27-F26))+(1/2)*(LN((1-E25)/E25))^-1*LN(((D27-D26)/(E27-D27))/((E26-D26)/(E27-E26)))*LN(D99/(1-D99))+((1-2*E25)*(LN((1-E25)/E25)))^-1*LN((((D27-D26)/(E27-D27))*((E26-D26)/(E27-E26)))/((F26-D26)/(E27-F26))^2)*(D99-0.5)*LN(D99/(1-D99))))/(1+EXP(LN((F26-D26)/(E27-F26))+(1/2)*(LN((1-E25)/E25))^-1*LN(((D27-D26)/(E27-D27))/((E26-D26)/(E27-E26)))*LN(D99/(1-D99))+((1-2*E25)*(LN((1-E25)/E25)))^-1*LN((((D27-D26)/(E27-D27))*((E26-D26)/(E27-E26)))/((F26-D26)/(E27-F26))^2)*(D99-0.5)*LN(D99/(1-D99)))),NA())))))</f>
        <v>38.499309389075378</v>
      </c>
      <c r="F99" s="51">
        <f>IF(F27&lt;&gt;"",NA(),IF(F25="u",((1/2)*(LN((1-E25)/E25))^-1*(D27-E26)/(D99*(1-D99))+((1-2*E25)*(LN((1-E25)/E25)))^-1*(1-2*(F26-E26)/(D27-E26))*(D27-E26)*((D99-0.5)/(D99*(1-D99))+LN(D99/(1-D99))))^(-1),IF(F25="sl",((1/2)*(LN((1-E25)/E25))^-1*LN((D27-D26)/(E26-D26))/(D99*(1-D99))+((1-2*E25)*(LN((1-E25)/E25)))^-1*LN(((D27-D26)*(E26-D26))/(F26-D26)^2)*((D99-0.5)/(D99*(1-D99))+LN(D99/(1-D99))))^(-1)*EXP(-(LN(F26-D26)+(1/2)*(LN((1-E25)/E25))^-1*LN((D27-D26)/(E26-D26))*LN(D99/(1-D99))+((1-2*E25)*(LN((1-E25)/E25)))^-1*LN(((D27-D26)*(E26-D26))/(F26-D26)^2)*(D99-0.5)*LN(D99/(1-D99)))),IF(F25="su",(-(1/2)*(LN((1-E25)/E25))^-1*LN((E27-D27)/(E27-E26))/(D99*(1-D99))-((1-2*E25)*(LN((1-E25)/E25)))^-1*LN(((E27-D27)*(E27-E26))/(E27-F26)^2)*((D99-0.5)/(D99*(1-D99))+LN(D99/(1-D99))))^(-1)*EXP((-LN(E27-F26)-(1/2)*(LN((1-E25)/E25))^-1*LN((E27-D27)/(E27-E26))*LN(D99/(1-D99))-((1-2*E25)*(LN((1-E25)/E25)))^-1*LN(((E27-D27)*(E27-E26))/(E27-F26)^2)*(D99-0.5)*LN(D99/(1-D99)))),IF(F25="b",((1/2)*(LN((1-E25)/E25))^-1*LN(((D27-D26)/(E27-D27))/((E26-D26)/(E27-E26)))/(D99*(1-D99))+((1-2*E25)*(LN((1-E25)/E25)))^-1*LN((((D27-D26)/(E27-D27))*((E26-D26)/(E27-E26)))/((F26-D26)/(E27-F26))^2)*((D99-0.5)/(D99*(1-D99))+LN(D99/(1-D99))))^(-1)*(1+EXP(LN((F26-D26)/(E27-F26))+(1/2)*(LN((1-E25)/E25))^-1*LN(((D27-D26)/(E27-D27))/((E26-D26)/(E27-E26)))*LN(D99/(1-D99))+((1-2*E25)*(LN((1-E25)/E25)))^-1*LN((((D27-D26)/(E27-D27))*((E26-D26)/(E27-E26)))/((F26-D26)/(E27-F26))^2)*(D99-0.5)*LN(D99/(1-D99))))^2/((E27-D26)*EXP(LN((F26-D26)/(E27-F26))+(1/2)*(LN((1-E25)/E25))^-1*LN(((D27-D26)/(E27-D27))/((E26-D26)/(E27-E26)))*LN(D99/(1-D99))+((1-2*E25)*(LN((1-E25)/E25)))^-1*LN((((D27-D26)/(E27-D27))*((E26-D26)/(E27-E26)))/((F26-D26)/(E27-F26))^2)*(D99-0.5)*LN(D99/(1-D99)))),NA())))))</f>
        <v>2.391431739614101E-2</v>
      </c>
      <c r="H99" s="71">
        <v>63</v>
      </c>
      <c r="I99" s="68">
        <f t="shared" si="4"/>
        <v>70.48271015541934</v>
      </c>
      <c r="J99" s="69">
        <f t="shared" si="5"/>
        <v>99</v>
      </c>
      <c r="K99" s="70">
        <f t="shared" si="6"/>
        <v>3.5296648105663546E-3</v>
      </c>
      <c r="M99"/>
    </row>
    <row r="100" spans="4:13" x14ac:dyDescent="0.35">
      <c r="D100" s="49">
        <f>IF(F27&lt;&gt;"",NA(),(ROW()-ROW(D40))/100)</f>
        <v>0.6</v>
      </c>
      <c r="E100" s="50">
        <f>IF(F27&lt;&gt;"",NA(),IF(F25="u",F26+(1/2)*(LN((1-E25)/E25))^-1*(D27-E26)*LN(D100/(1-D100))+((1-2*E25)*(LN((1-E25)/E25)))^-1*(1-2*(F26-E26)/(D27-E26))*(D27-E26)*(D100-0.5)*LN(D100/(1-D100)),IF(F25="sl",D26+EXP(LN(F26-D26)+(1/2)*(LN((1-E25)/E25))^-1*LN((D27-D26)/(E26-D26))*LN(D100/(1-D100))+((1-2*E25)*(LN((1-E25)/E25)))^-1*LN(((D27-D26)*(E26-D26))/(F26-D26)^2)*(D100-0.5)*LN(D100/(1-D100))),IF(F25="su",E27-EXP(-(-LN(E27-F26)-(1/2)*(LN((1-E25)/E25))^-1*LN((E27-D27)/(E27-E26))*LN(D100/(1-D100))-((1-2*E25)*(LN((1-E25)/E25)))^-1*LN(((E27-D27)*(E27-E26))/(E27-F26)^2)*(D100-0.5)*LN(D100/(1-D100)))),IF(F25="b",(D26+E27*EXP(LN((F26-D26)/(E27-F26))+(1/2)*(LN((1-E25)/E25))^-1*LN(((D27-D26)/(E27-D27))/((E26-D26)/(E27-E26)))*LN(D100/(1-D100))+((1-2*E25)*(LN((1-E25)/E25)))^-1*LN((((D27-D26)/(E27-D27))*((E26-D26)/(E27-E26)))/((F26-D26)/(E27-F26))^2)*(D100-0.5)*LN(D100/(1-D100))))/(1+EXP(LN((F26-D26)/(E27-F26))+(1/2)*(LN((1-E25)/E25))^-1*LN(((D27-D26)/(E27-D27))/((E26-D26)/(E27-E26)))*LN(D100/(1-D100))+((1-2*E25)*(LN((1-E25)/E25)))^-1*LN((((D27-D26)/(E27-D27))*((E26-D26)/(E27-E26)))/((F26-D26)/(E27-F26))^2)*(D100-0.5)*LN(D100/(1-D100)))),NA())))))</f>
        <v>38.921371368303262</v>
      </c>
      <c r="F100" s="51">
        <f>IF(F27&lt;&gt;"",NA(),IF(F25="u",((1/2)*(LN((1-E25)/E25))^-1*(D27-E26)/(D100*(1-D100))+((1-2*E25)*(LN((1-E25)/E25)))^-1*(1-2*(F26-E26)/(D27-E26))*(D27-E26)*((D100-0.5)/(D100*(1-D100))+LN(D100/(1-D100))))^(-1),IF(F25="sl",((1/2)*(LN((1-E25)/E25))^-1*LN((D27-D26)/(E26-D26))/(D100*(1-D100))+((1-2*E25)*(LN((1-E25)/E25)))^-1*LN(((D27-D26)*(E26-D26))/(F26-D26)^2)*((D100-0.5)/(D100*(1-D100))+LN(D100/(1-D100))))^(-1)*EXP(-(LN(F26-D26)+(1/2)*(LN((1-E25)/E25))^-1*LN((D27-D26)/(E26-D26))*LN(D100/(1-D100))+((1-2*E25)*(LN((1-E25)/E25)))^-1*LN(((D27-D26)*(E26-D26))/(F26-D26)^2)*(D100-0.5)*LN(D100/(1-D100)))),IF(F25="su",(-(1/2)*(LN((1-E25)/E25))^-1*LN((E27-D27)/(E27-E26))/(D100*(1-D100))-((1-2*E25)*(LN((1-E25)/E25)))^-1*LN(((E27-D27)*(E27-E26))/(E27-F26)^2)*((D100-0.5)/(D100*(1-D100))+LN(D100/(1-D100))))^(-1)*EXP((-LN(E27-F26)-(1/2)*(LN((1-E25)/E25))^-1*LN((E27-D27)/(E27-E26))*LN(D100/(1-D100))-((1-2*E25)*(LN((1-E25)/E25)))^-1*LN(((E27-D27)*(E27-E26))/(E27-F26)^2)*(D100-0.5)*LN(D100/(1-D100)))),IF(F25="b",((1/2)*(LN((1-E25)/E25))^-1*LN(((D27-D26)/(E27-D27))/((E26-D26)/(E27-E26)))/(D100*(1-D100))+((1-2*E25)*(LN((1-E25)/E25)))^-1*LN((((D27-D26)/(E27-D27))*((E26-D26)/(E27-E26)))/((F26-D26)/(E27-F26))^2)*((D100-0.5)/(D100*(1-D100))+LN(D100/(1-D100))))^(-1)*(1+EXP(LN((F26-D26)/(E27-F26))+(1/2)*(LN((1-E25)/E25))^-1*LN(((D27-D26)/(E27-D27))/((E26-D26)/(E27-E26)))*LN(D100/(1-D100))+((1-2*E25)*(LN((1-E25)/E25)))^-1*LN((((D27-D26)/(E27-D27))*((E26-D26)/(E27-E26)))/((F26-D26)/(E27-F26))^2)*(D100-0.5)*LN(D100/(1-D100))))^2/((E27-D26)*EXP(LN((F26-D26)/(E27-F26))+(1/2)*(LN((1-E25)/E25))^-1*LN(((D27-D26)/(E27-D27))/((E26-D26)/(E27-E26)))*LN(D100/(1-D100))+((1-2*E25)*(LN((1-E25)/E25)))^-1*LN((((D27-D26)/(E27-D27))*((E26-D26)/(E27-E26)))/((F26-D26)/(E27-F26))^2)*(D100-0.5)*LN(D100/(1-D100)))),NA())))))</f>
        <v>2.3472118733250696E-2</v>
      </c>
      <c r="H100" s="71">
        <v>64</v>
      </c>
      <c r="I100" s="68">
        <f t="shared" si="4"/>
        <v>71.752770585362427</v>
      </c>
      <c r="J100" s="69">
        <f t="shared" si="5"/>
        <v>99</v>
      </c>
      <c r="K100" s="70">
        <f t="shared" si="6"/>
        <v>3.2151805378671096E-3</v>
      </c>
      <c r="M100"/>
    </row>
    <row r="101" spans="4:13" x14ac:dyDescent="0.35">
      <c r="D101" s="49">
        <f>IF(F27&lt;&gt;"",NA(),(ROW()-ROW(D40))/100)</f>
        <v>0.61</v>
      </c>
      <c r="E101" s="50">
        <f>IF(F27&lt;&gt;"",NA(),IF(F25="u",F26+(1/2)*(LN((1-E25)/E25))^-1*(D27-E26)*LN(D101/(1-D101))+((1-2*E25)*(LN((1-E25)/E25)))^-1*(1-2*(F26-E26)/(D27-E26))*(D27-E26)*(D101-0.5)*LN(D101/(1-D101)),IF(F25="sl",D26+EXP(LN(F26-D26)+(1/2)*(LN((1-E25)/E25))^-1*LN((D27-D26)/(E26-D26))*LN(D101/(1-D101))+((1-2*E25)*(LN((1-E25)/E25)))^-1*LN(((D27-D26)*(E26-D26))/(F26-D26)^2)*(D101-0.5)*LN(D101/(1-D101))),IF(F25="su",E27-EXP(-(-LN(E27-F26)-(1/2)*(LN((1-E25)/E25))^-1*LN((E27-D27)/(E27-E26))*LN(D101/(1-D101))-((1-2*E25)*(LN((1-E25)/E25)))^-1*LN(((E27-D27)*(E27-E26))/(E27-F26)^2)*(D101-0.5)*LN(D101/(1-D101)))),IF(F25="b",(D26+E27*EXP(LN((F26-D26)/(E27-F26))+(1/2)*(LN((1-E25)/E25))^-1*LN(((D27-D26)/(E27-D27))/((E26-D26)/(E27-E26)))*LN(D101/(1-D101))+((1-2*E25)*(LN((1-E25)/E25)))^-1*LN((((D27-D26)/(E27-D27))*((E26-D26)/(E27-E26)))/((F26-D26)/(E27-F26))^2)*(D101-0.5)*LN(D101/(1-D101))))/(1+EXP(LN((F26-D26)/(E27-F26))+(1/2)*(LN((1-E25)/E25))^-1*LN(((D27-D26)/(E27-D27))/((E26-D26)/(E27-E26)))*LN(D101/(1-D101))+((1-2*E25)*(LN((1-E25)/E25)))^-1*LN((((D27-D26)/(E27-D27))*((E26-D26)/(E27-E26)))/((F26-D26)/(E27-F26))^2)*(D101-0.5)*LN(D101/(1-D101)))),NA())))))</f>
        <v>39.351534549224304</v>
      </c>
      <c r="F101" s="51">
        <f>IF(F27&lt;&gt;"",NA(),IF(F25="u",((1/2)*(LN((1-E25)/E25))^-1*(D27-E26)/(D101*(1-D101))+((1-2*E25)*(LN((1-E25)/E25)))^-1*(1-2*(F26-E26)/(D27-E26))*(D27-E26)*((D101-0.5)/(D101*(1-D101))+LN(D101/(1-D101))))^(-1),IF(F25="sl",((1/2)*(LN((1-E25)/E25))^-1*LN((D27-D26)/(E26-D26))/(D101*(1-D101))+((1-2*E25)*(LN((1-E25)/E25)))^-1*LN(((D27-D26)*(E26-D26))/(F26-D26)^2)*((D101-0.5)/(D101*(1-D101))+LN(D101/(1-D101))))^(-1)*EXP(-(LN(F26-D26)+(1/2)*(LN((1-E25)/E25))^-1*LN((D27-D26)/(E26-D26))*LN(D101/(1-D101))+((1-2*E25)*(LN((1-E25)/E25)))^-1*LN(((D27-D26)*(E26-D26))/(F26-D26)^2)*(D101-0.5)*LN(D101/(1-D101)))),IF(F25="su",(-(1/2)*(LN((1-E25)/E25))^-1*LN((E27-D27)/(E27-E26))/(D101*(1-D101))-((1-2*E25)*(LN((1-E25)/E25)))^-1*LN(((E27-D27)*(E27-E26))/(E27-F26)^2)*((D101-0.5)/(D101*(1-D101))+LN(D101/(1-D101))))^(-1)*EXP((-LN(E27-F26)-(1/2)*(LN((1-E25)/E25))^-1*LN((E27-D27)/(E27-E26))*LN(D101/(1-D101))-((1-2*E25)*(LN((1-E25)/E25)))^-1*LN(((E27-D27)*(E27-E26))/(E27-F26)^2)*(D101-0.5)*LN(D101/(1-D101)))),IF(F25="b",((1/2)*(LN((1-E25)/E25))^-1*LN(((D27-D26)/(E27-D27))/((E26-D26)/(E27-E26)))/(D101*(1-D101))+((1-2*E25)*(LN((1-E25)/E25)))^-1*LN((((D27-D26)/(E27-D27))*((E26-D26)/(E27-E26)))/((F26-D26)/(E27-F26))^2)*((D101-0.5)/(D101*(1-D101))+LN(D101/(1-D101))))^(-1)*(1+EXP(LN((F26-D26)/(E27-F26))+(1/2)*(LN((1-E25)/E25))^-1*LN(((D27-D26)/(E27-D27))/((E26-D26)/(E27-E26)))*LN(D101/(1-D101))+((1-2*E25)*(LN((1-E25)/E25)))^-1*LN((((D27-D26)/(E27-D27))*((E26-D26)/(E27-E26)))/((F26-D26)/(E27-F26))^2)*(D101-0.5)*LN(D101/(1-D101))))^2/((E27-D26)*EXP(LN((F26-D26)/(E27-F26))+(1/2)*(LN((1-E25)/E25))^-1*LN(((D27-D26)/(E27-D27))/((E26-D26)/(E27-E26)))*LN(D101/(1-D101))+((1-2*E25)*(LN((1-E25)/E25)))^-1*LN((((D27-D26)/(E27-D27))*((E26-D26)/(E27-E26)))/((F26-D26)/(E27-F26))^2)*(D101-0.5)*LN(D101/(1-D101)))),NA())))))</f>
        <v>2.3022032343758429E-2</v>
      </c>
      <c r="H101" s="71">
        <v>65</v>
      </c>
      <c r="I101" s="68">
        <f t="shared" si="4"/>
        <v>73.022831015305513</v>
      </c>
      <c r="J101" s="69">
        <f t="shared" si="5"/>
        <v>100</v>
      </c>
      <c r="K101" s="70">
        <f t="shared" si="6"/>
        <v>2.9378953389269402E-3</v>
      </c>
      <c r="M101"/>
    </row>
    <row r="102" spans="4:13" x14ac:dyDescent="0.35">
      <c r="D102" s="49">
        <f>IF(F27&lt;&gt;"",NA(),(ROW()-ROW(D40))/100)</f>
        <v>0.62</v>
      </c>
      <c r="E102" s="50">
        <f>IF(F27&lt;&gt;"",NA(),IF(F25="u",F26+(1/2)*(LN((1-E25)/E25))^-1*(D27-E26)*LN(D102/(1-D102))+((1-2*E25)*(LN((1-E25)/E25)))^-1*(1-2*(F26-E26)/(D27-E26))*(D27-E26)*(D102-0.5)*LN(D102/(1-D102)),IF(F25="sl",D26+EXP(LN(F26-D26)+(1/2)*(LN((1-E25)/E25))^-1*LN((D27-D26)/(E26-D26))*LN(D102/(1-D102))+((1-2*E25)*(LN((1-E25)/E25)))^-1*LN(((D27-D26)*(E26-D26))/(F26-D26)^2)*(D102-0.5)*LN(D102/(1-D102))),IF(F25="su",E27-EXP(-(-LN(E27-F26)-(1/2)*(LN((1-E25)/E25))^-1*LN((E27-D27)/(E27-E26))*LN(D102/(1-D102))-((1-2*E25)*(LN((1-E25)/E25)))^-1*LN(((E27-D27)*(E27-E26))/(E27-F26)^2)*(D102-0.5)*LN(D102/(1-D102)))),IF(F25="b",(D26+E27*EXP(LN((F26-D26)/(E27-F26))+(1/2)*(LN((1-E25)/E25))^-1*LN(((D27-D26)/(E27-D27))/((E26-D26)/(E27-E26)))*LN(D102/(1-D102))+((1-2*E25)*(LN((1-E25)/E25)))^-1*LN((((D27-D26)/(E27-D27))*((E26-D26)/(E27-E26)))/((F26-D26)/(E27-F26))^2)*(D102-0.5)*LN(D102/(1-D102))))/(1+EXP(LN((F26-D26)/(E27-F26))+(1/2)*(LN((1-E25)/E25))^-1*LN(((D27-D26)/(E27-D27))/((E26-D26)/(E27-E26)))*LN(D102/(1-D102))+((1-2*E25)*(LN((1-E25)/E25)))^-1*LN((((D27-D26)/(E27-D27))*((E26-D26)/(E27-E26)))/((F26-D26)/(E27-F26))^2)*(D102-0.5)*LN(D102/(1-D102)))),NA())))))</f>
        <v>39.790264478614375</v>
      </c>
      <c r="F102" s="51">
        <f>IF(F27&lt;&gt;"",NA(),IF(F25="u",((1/2)*(LN((1-E25)/E25))^-1*(D27-E26)/(D102*(1-D102))+((1-2*E25)*(LN((1-E25)/E25)))^-1*(1-2*(F26-E26)/(D27-E26))*(D27-E26)*((D102-0.5)/(D102*(1-D102))+LN(D102/(1-D102))))^(-1),IF(F25="sl",((1/2)*(LN((1-E25)/E25))^-1*LN((D27-D26)/(E26-D26))/(D102*(1-D102))+((1-2*E25)*(LN((1-E25)/E25)))^-1*LN(((D27-D26)*(E26-D26))/(F26-D26)^2)*((D102-0.5)/(D102*(1-D102))+LN(D102/(1-D102))))^(-1)*EXP(-(LN(F26-D26)+(1/2)*(LN((1-E25)/E25))^-1*LN((D27-D26)/(E26-D26))*LN(D102/(1-D102))+((1-2*E25)*(LN((1-E25)/E25)))^-1*LN(((D27-D26)*(E26-D26))/(F26-D26)^2)*(D102-0.5)*LN(D102/(1-D102)))),IF(F25="su",(-(1/2)*(LN((1-E25)/E25))^-1*LN((E27-D27)/(E27-E26))/(D102*(1-D102))-((1-2*E25)*(LN((1-E25)/E25)))^-1*LN(((E27-D27)*(E27-E26))/(E27-F26)^2)*((D102-0.5)/(D102*(1-D102))+LN(D102/(1-D102))))^(-1)*EXP((-LN(E27-F26)-(1/2)*(LN((1-E25)/E25))^-1*LN((E27-D27)/(E27-E26))*LN(D102/(1-D102))-((1-2*E25)*(LN((1-E25)/E25)))^-1*LN(((E27-D27)*(E27-E26))/(E27-F26)^2)*(D102-0.5)*LN(D102/(1-D102)))),IF(F25="b",((1/2)*(LN((1-E25)/E25))^-1*LN(((D27-D26)/(E27-D27))/((E26-D26)/(E27-E26)))/(D102*(1-D102))+((1-2*E25)*(LN((1-E25)/E25)))^-1*LN((((D27-D26)/(E27-D27))*((E26-D26)/(E27-E26)))/((F26-D26)/(E27-F26))^2)*((D102-0.5)/(D102*(1-D102))+LN(D102/(1-D102))))^(-1)*(1+EXP(LN((F26-D26)/(E27-F26))+(1/2)*(LN((1-E25)/E25))^-1*LN(((D27-D26)/(E27-D27))/((E26-D26)/(E27-E26)))*LN(D102/(1-D102))+((1-2*E25)*(LN((1-E25)/E25)))^-1*LN((((D27-D26)/(E27-D27))*((E26-D26)/(E27-E26)))/((F26-D26)/(E27-F26))^2)*(D102-0.5)*LN(D102/(1-D102))))^2/((E27-D26)*EXP(LN((F26-D26)/(E27-F26))+(1/2)*(LN((1-E25)/E25))^-1*LN(((D27-D26)/(E27-D27))/((E26-D26)/(E27-E26)))*LN(D102/(1-D102))+((1-2*E25)*(LN((1-E25)/E25)))^-1*LN((((D27-D26)/(E27-D27))*((E26-D26)/(E27-E26)))/((F26-D26)/(E27-F26))^2)*(D102-0.5)*LN(D102/(1-D102)))),NA())))))</f>
        <v>2.2564398884256043E-2</v>
      </c>
      <c r="H102" s="71">
        <v>66</v>
      </c>
      <c r="I102" s="68">
        <f t="shared" ref="I102:I136" si="7">I101+I$35</f>
        <v>74.2928914452486</v>
      </c>
      <c r="J102" s="69">
        <f t="shared" ref="J102:J133" si="8">LOOKUP( I102, E$37:E$143, H$37:H$143 )</f>
        <v>100</v>
      </c>
      <c r="K102" s="70">
        <f t="shared" ref="K102:K133" si="9">INDEX( F$37:F$143, J102, 1 ) + (( I102 - INDEX( E$37:E$143, J102, 1 )) / ( INDEX( E$37:E$143, J102+1, 1 ) - INDEX( E$37:E$143, J102, 1 ))) * ( INDEX( F$37:F$143, J102 + 1, 1 ) - INDEX( F$37:F$143, J102, 1 ))</f>
        <v>2.6841241688997574E-3</v>
      </c>
      <c r="M102"/>
    </row>
    <row r="103" spans="4:13" x14ac:dyDescent="0.35">
      <c r="D103" s="49">
        <f>IF(F27&lt;&gt;"",NA(),(ROW()-ROW(D40))/100)</f>
        <v>0.63</v>
      </c>
      <c r="E103" s="50">
        <f>IF(F27&lt;&gt;"",NA(),IF(F25="u",F26+(1/2)*(LN((1-E25)/E25))^-1*(D27-E26)*LN(D103/(1-D103))+((1-2*E25)*(LN((1-E25)/E25)))^-1*(1-2*(F26-E26)/(D27-E26))*(D27-E26)*(D103-0.5)*LN(D103/(1-D103)),IF(F25="sl",D26+EXP(LN(F26-D26)+(1/2)*(LN((1-E25)/E25))^-1*LN((D27-D26)/(E26-D26))*LN(D103/(1-D103))+((1-2*E25)*(LN((1-E25)/E25)))^-1*LN(((D27-D26)*(E26-D26))/(F26-D26)^2)*(D103-0.5)*LN(D103/(1-D103))),IF(F25="su",E27-EXP(-(-LN(E27-F26)-(1/2)*(LN((1-E25)/E25))^-1*LN((E27-D27)/(E27-E26))*LN(D103/(1-D103))-((1-2*E25)*(LN((1-E25)/E25)))^-1*LN(((E27-D27)*(E27-E26))/(E27-F26)^2)*(D103-0.5)*LN(D103/(1-D103)))),IF(F25="b",(D26+E27*EXP(LN((F26-D26)/(E27-F26))+(1/2)*(LN((1-E25)/E25))^-1*LN(((D27-D26)/(E27-D27))/((E26-D26)/(E27-E26)))*LN(D103/(1-D103))+((1-2*E25)*(LN((1-E25)/E25)))^-1*LN((((D27-D26)/(E27-D27))*((E26-D26)/(E27-E26)))/((F26-D26)/(E27-F26))^2)*(D103-0.5)*LN(D103/(1-D103))))/(1+EXP(LN((F26-D26)/(E27-F26))+(1/2)*(LN((1-E25)/E25))^-1*LN(((D27-D26)/(E27-D27))/((E26-D26)/(E27-E26)))*LN(D103/(1-D103))+((1-2*E25)*(LN((1-E25)/E25)))^-1*LN((((D27-D26)/(E27-D27))*((E26-D26)/(E27-E26)))/((F26-D26)/(E27-F26))^2)*(D103-0.5)*LN(D103/(1-D103)))),NA())))))</f>
        <v>40.238057463947804</v>
      </c>
      <c r="F103" s="51">
        <f>IF(F27&lt;&gt;"",NA(),IF(F25="u",((1/2)*(LN((1-E25)/E25))^-1*(D27-E26)/(D103*(1-D103))+((1-2*E25)*(LN((1-E25)/E25)))^-1*(1-2*(F26-E26)/(D27-E26))*(D27-E26)*((D103-0.5)/(D103*(1-D103))+LN(D103/(1-D103))))^(-1),IF(F25="sl",((1/2)*(LN((1-E25)/E25))^-1*LN((D27-D26)/(E26-D26))/(D103*(1-D103))+((1-2*E25)*(LN((1-E25)/E25)))^-1*LN(((D27-D26)*(E26-D26))/(F26-D26)^2)*((D103-0.5)/(D103*(1-D103))+LN(D103/(1-D103))))^(-1)*EXP(-(LN(F26-D26)+(1/2)*(LN((1-E25)/E25))^-1*LN((D27-D26)/(E26-D26))*LN(D103/(1-D103))+((1-2*E25)*(LN((1-E25)/E25)))^-1*LN(((D27-D26)*(E26-D26))/(F26-D26)^2)*(D103-0.5)*LN(D103/(1-D103)))),IF(F25="su",(-(1/2)*(LN((1-E25)/E25))^-1*LN((E27-D27)/(E27-E26))/(D103*(1-D103))-((1-2*E25)*(LN((1-E25)/E25)))^-1*LN(((E27-D27)*(E27-E26))/(E27-F26)^2)*((D103-0.5)/(D103*(1-D103))+LN(D103/(1-D103))))^(-1)*EXP((-LN(E27-F26)-(1/2)*(LN((1-E25)/E25))^-1*LN((E27-D27)/(E27-E26))*LN(D103/(1-D103))-((1-2*E25)*(LN((1-E25)/E25)))^-1*LN(((E27-D27)*(E27-E26))/(E27-F26)^2)*(D103-0.5)*LN(D103/(1-D103)))),IF(F25="b",((1/2)*(LN((1-E25)/E25))^-1*LN(((D27-D26)/(E27-D27))/((E26-D26)/(E27-E26)))/(D103*(1-D103))+((1-2*E25)*(LN((1-E25)/E25)))^-1*LN((((D27-D26)/(E27-D27))*((E26-D26)/(E27-E26)))/((F26-D26)/(E27-F26))^2)*((D103-0.5)/(D103*(1-D103))+LN(D103/(1-D103))))^(-1)*(1+EXP(LN((F26-D26)/(E27-F26))+(1/2)*(LN((1-E25)/E25))^-1*LN(((D27-D26)/(E27-D27))/((E26-D26)/(E27-E26)))*LN(D103/(1-D103))+((1-2*E25)*(LN((1-E25)/E25)))^-1*LN((((D27-D26)/(E27-D27))*((E26-D26)/(E27-E26)))/((F26-D26)/(E27-F26))^2)*(D103-0.5)*LN(D103/(1-D103))))^2/((E27-D26)*EXP(LN((F26-D26)/(E27-F26))+(1/2)*(LN((1-E25)/E25))^-1*LN(((D27-D26)/(E27-D27))/((E26-D26)/(E27-E26)))*LN(D103/(1-D103))+((1-2*E25)*(LN((1-E25)/E25)))^-1*LN((((D27-D26)/(E27-D27))*((E26-D26)/(E27-E26)))/((F26-D26)/(E27-F26))^2)*(D103-0.5)*LN(D103/(1-D103)))),NA())))))</f>
        <v>2.2099527350708824E-2</v>
      </c>
      <c r="H103" s="71">
        <v>67</v>
      </c>
      <c r="I103" s="68">
        <f t="shared" si="7"/>
        <v>75.562951875191686</v>
      </c>
      <c r="J103" s="69">
        <f t="shared" si="8"/>
        <v>100</v>
      </c>
      <c r="K103" s="70">
        <f t="shared" si="9"/>
        <v>2.4303529988725743E-3</v>
      </c>
      <c r="M103"/>
    </row>
    <row r="104" spans="4:13" x14ac:dyDescent="0.35">
      <c r="D104" s="49">
        <f>IF(F27&lt;&gt;"",NA(),(ROW()-ROW(D40))/100)</f>
        <v>0.64</v>
      </c>
      <c r="E104" s="50">
        <f>IF(F27&lt;&gt;"",NA(),IF(F25="u",F26+(1/2)*(LN((1-E25)/E25))^-1*(D27-E26)*LN(D104/(1-D104))+((1-2*E25)*(LN((1-E25)/E25)))^-1*(1-2*(F26-E26)/(D27-E26))*(D27-E26)*(D104-0.5)*LN(D104/(1-D104)),IF(F25="sl",D26+EXP(LN(F26-D26)+(1/2)*(LN((1-E25)/E25))^-1*LN((D27-D26)/(E26-D26))*LN(D104/(1-D104))+((1-2*E25)*(LN((1-E25)/E25)))^-1*LN(((D27-D26)*(E26-D26))/(F26-D26)^2)*(D104-0.5)*LN(D104/(1-D104))),IF(F25="su",E27-EXP(-(-LN(E27-F26)-(1/2)*(LN((1-E25)/E25))^-1*LN((E27-D27)/(E27-E26))*LN(D104/(1-D104))-((1-2*E25)*(LN((1-E25)/E25)))^-1*LN(((E27-D27)*(E27-E26))/(E27-F26)^2)*(D104-0.5)*LN(D104/(1-D104)))),IF(F25="b",(D26+E27*EXP(LN((F26-D26)/(E27-F26))+(1/2)*(LN((1-E25)/E25))^-1*LN(((D27-D26)/(E27-D27))/((E26-D26)/(E27-E26)))*LN(D104/(1-D104))+((1-2*E25)*(LN((1-E25)/E25)))^-1*LN((((D27-D26)/(E27-D27))*((E26-D26)/(E27-E26)))/((F26-D26)/(E27-F26))^2)*(D104-0.5)*LN(D104/(1-D104))))/(1+EXP(LN((F26-D26)/(E27-F26))+(1/2)*(LN((1-E25)/E25))^-1*LN(((D27-D26)/(E27-D27))/((E26-D26)/(E27-E26)))*LN(D104/(1-D104))+((1-2*E25)*(LN((1-E25)/E25)))^-1*LN((((D27-D26)/(E27-D27))*((E26-D26)/(E27-E26)))/((F26-D26)/(E27-F26))^2)*(D104-0.5)*LN(D104/(1-D104)))),NA())))))</f>
        <v>40.695444280358394</v>
      </c>
      <c r="F104" s="51">
        <f>IF(F27&lt;&gt;"",NA(),IF(F25="u",((1/2)*(LN((1-E25)/E25))^-1*(D27-E26)/(D104*(1-D104))+((1-2*E25)*(LN((1-E25)/E25)))^-1*(1-2*(F26-E26)/(D27-E26))*(D27-E26)*((D104-0.5)/(D104*(1-D104))+LN(D104/(1-D104))))^(-1),IF(F25="sl",((1/2)*(LN((1-E25)/E25))^-1*LN((D27-D26)/(E26-D26))/(D104*(1-D104))+((1-2*E25)*(LN((1-E25)/E25)))^-1*LN(((D27-D26)*(E26-D26))/(F26-D26)^2)*((D104-0.5)/(D104*(1-D104))+LN(D104/(1-D104))))^(-1)*EXP(-(LN(F26-D26)+(1/2)*(LN((1-E25)/E25))^-1*LN((D27-D26)/(E26-D26))*LN(D104/(1-D104))+((1-2*E25)*(LN((1-E25)/E25)))^-1*LN(((D27-D26)*(E26-D26))/(F26-D26)^2)*(D104-0.5)*LN(D104/(1-D104)))),IF(F25="su",(-(1/2)*(LN((1-E25)/E25))^-1*LN((E27-D27)/(E27-E26))/(D104*(1-D104))-((1-2*E25)*(LN((1-E25)/E25)))^-1*LN(((E27-D27)*(E27-E26))/(E27-F26)^2)*((D104-0.5)/(D104*(1-D104))+LN(D104/(1-D104))))^(-1)*EXP((-LN(E27-F26)-(1/2)*(LN((1-E25)/E25))^-1*LN((E27-D27)/(E27-E26))*LN(D104/(1-D104))-((1-2*E25)*(LN((1-E25)/E25)))^-1*LN(((E27-D27)*(E27-E26))/(E27-F26)^2)*(D104-0.5)*LN(D104/(1-D104)))),IF(F25="b",((1/2)*(LN((1-E25)/E25))^-1*LN(((D27-D26)/(E27-D27))/((E26-D26)/(E27-E26)))/(D104*(1-D104))+((1-2*E25)*(LN((1-E25)/E25)))^-1*LN((((D27-D26)/(E27-D27))*((E26-D26)/(E27-E26)))/((F26-D26)/(E27-F26))^2)*((D104-0.5)/(D104*(1-D104))+LN(D104/(1-D104))))^(-1)*(1+EXP(LN((F26-D26)/(E27-F26))+(1/2)*(LN((1-E25)/E25))^-1*LN(((D27-D26)/(E27-D27))/((E26-D26)/(E27-E26)))*LN(D104/(1-D104))+((1-2*E25)*(LN((1-E25)/E25)))^-1*LN((((D27-D26)/(E27-D27))*((E26-D26)/(E27-E26)))/((F26-D26)/(E27-F26))^2)*(D104-0.5)*LN(D104/(1-D104))))^2/((E27-D26)*EXP(LN((F26-D26)/(E27-F26))+(1/2)*(LN((1-E25)/E25))^-1*LN(((D27-D26)/(E27-D27))/((E26-D26)/(E27-E26)))*LN(D104/(1-D104))+((1-2*E25)*(LN((1-E25)/E25)))^-1*LN((((D27-D26)/(E27-D27))*((E26-D26)/(E27-E26)))/((F26-D26)/(E27-F26))^2)*(D104-0.5)*LN(D104/(1-D104)))),NA())))))</f>
        <v>2.1627696353324139E-2</v>
      </c>
      <c r="H104" s="71">
        <v>68</v>
      </c>
      <c r="I104" s="68">
        <f t="shared" si="7"/>
        <v>76.833012305134773</v>
      </c>
      <c r="J104" s="69">
        <f t="shared" si="8"/>
        <v>101</v>
      </c>
      <c r="K104" s="70">
        <f t="shared" si="9"/>
        <v>2.2229418986556243E-3</v>
      </c>
      <c r="M104"/>
    </row>
    <row r="105" spans="4:13" x14ac:dyDescent="0.35">
      <c r="D105" s="49">
        <f>IF(F27&lt;&gt;"",NA(),(ROW()-ROW(D40))/100)</f>
        <v>0.65</v>
      </c>
      <c r="E105" s="50">
        <f>IF(F27&lt;&gt;"",NA(),IF(F25="u",F26+(1/2)*(LN((1-E25)/E25))^-1*(D27-E26)*LN(D105/(1-D105))+((1-2*E25)*(LN((1-E25)/E25)))^-1*(1-2*(F26-E26)/(D27-E26))*(D27-E26)*(D105-0.5)*LN(D105/(1-D105)),IF(F25="sl",D26+EXP(LN(F26-D26)+(1/2)*(LN((1-E25)/E25))^-1*LN((D27-D26)/(E26-D26))*LN(D105/(1-D105))+((1-2*E25)*(LN((1-E25)/E25)))^-1*LN(((D27-D26)*(E26-D26))/(F26-D26)^2)*(D105-0.5)*LN(D105/(1-D105))),IF(F25="su",E27-EXP(-(-LN(E27-F26)-(1/2)*(LN((1-E25)/E25))^-1*LN((E27-D27)/(E27-E26))*LN(D105/(1-D105))-((1-2*E25)*(LN((1-E25)/E25)))^-1*LN(((E27-D27)*(E27-E26))/(E27-F26)^2)*(D105-0.5)*LN(D105/(1-D105)))),IF(F25="b",(D26+E27*EXP(LN((F26-D26)/(E27-F26))+(1/2)*(LN((1-E25)/E25))^-1*LN(((D27-D26)/(E27-D27))/((E26-D26)/(E27-E26)))*LN(D105/(1-D105))+((1-2*E25)*(LN((1-E25)/E25)))^-1*LN((((D27-D26)/(E27-D27))*((E26-D26)/(E27-E26)))/((F26-D26)/(E27-F26))^2)*(D105-0.5)*LN(D105/(1-D105))))/(1+EXP(LN((F26-D26)/(E27-F26))+(1/2)*(LN((1-E25)/E25))^-1*LN(((D27-D26)/(E27-D27))/((E26-D26)/(E27-E26)))*LN(D105/(1-D105))+((1-2*E25)*(LN((1-E25)/E25)))^-1*LN((((D27-D26)/(E27-D27))*((E26-D26)/(E27-E26)))/((F26-D26)/(E27-F26))^2)*(D105-0.5)*LN(D105/(1-D105)))),NA())))))</f>
        <v>41.162994362780616</v>
      </c>
      <c r="F105" s="51">
        <f>IF(F27&lt;&gt;"",NA(),IF(F25="u",((1/2)*(LN((1-E25)/E25))^-1*(D27-E26)/(D105*(1-D105))+((1-2*E25)*(LN((1-E25)/E25)))^-1*(1-2*(F26-E26)/(D27-E26))*(D27-E26)*((D105-0.5)/(D105*(1-D105))+LN(D105/(1-D105))))^(-1),IF(F25="sl",((1/2)*(LN((1-E25)/E25))^-1*LN((D27-D26)/(E26-D26))/(D105*(1-D105))+((1-2*E25)*(LN((1-E25)/E25)))^-1*LN(((D27-D26)*(E26-D26))/(F26-D26)^2)*((D105-0.5)/(D105*(1-D105))+LN(D105/(1-D105))))^(-1)*EXP(-(LN(F26-D26)+(1/2)*(LN((1-E25)/E25))^-1*LN((D27-D26)/(E26-D26))*LN(D105/(1-D105))+((1-2*E25)*(LN((1-E25)/E25)))^-1*LN(((D27-D26)*(E26-D26))/(F26-D26)^2)*(D105-0.5)*LN(D105/(1-D105)))),IF(F25="su",(-(1/2)*(LN((1-E25)/E25))^-1*LN((E27-D27)/(E27-E26))/(D105*(1-D105))-((1-2*E25)*(LN((1-E25)/E25)))^-1*LN(((E27-D27)*(E27-E26))/(E27-F26)^2)*((D105-0.5)/(D105*(1-D105))+LN(D105/(1-D105))))^(-1)*EXP((-LN(E27-F26)-(1/2)*(LN((1-E25)/E25))^-1*LN((E27-D27)/(E27-E26))*LN(D105/(1-D105))-((1-2*E25)*(LN((1-E25)/E25)))^-1*LN(((E27-D27)*(E27-E26))/(E27-F26)^2)*(D105-0.5)*LN(D105/(1-D105)))),IF(F25="b",((1/2)*(LN((1-E25)/E25))^-1*LN(((D27-D26)/(E27-D27))/((E26-D26)/(E27-E26)))/(D105*(1-D105))+((1-2*E25)*(LN((1-E25)/E25)))^-1*LN((((D27-D26)/(E27-D27))*((E26-D26)/(E27-E26)))/((F26-D26)/(E27-F26))^2)*((D105-0.5)/(D105*(1-D105))+LN(D105/(1-D105))))^(-1)*(1+EXP(LN((F26-D26)/(E27-F26))+(1/2)*(LN((1-E25)/E25))^-1*LN(((D27-D26)/(E27-D27))/((E26-D26)/(E27-E26)))*LN(D105/(1-D105))+((1-2*E25)*(LN((1-E25)/E25)))^-1*LN((((D27-D26)/(E27-D27))*((E26-D26)/(E27-E26)))/((F26-D26)/(E27-F26))^2)*(D105-0.5)*LN(D105/(1-D105))))^2/((E27-D26)*EXP(LN((F26-D26)/(E27-F26))+(1/2)*(LN((1-E25)/E25))^-1*LN(((D27-D26)/(E27-D27))/((E26-D26)/(E27-E26)))*LN(D105/(1-D105))+((1-2*E25)*(LN((1-E25)/E25)))^-1*LN((((D27-D26)/(E27-D27))*((E26-D26)/(E27-E26)))/((F26-D26)/(E27-F26))^2)*(D105-0.5)*LN(D105/(1-D105)))),NA())))))</f>
        <v>2.1149155279729551E-2</v>
      </c>
      <c r="H105" s="71">
        <v>69</v>
      </c>
      <c r="I105" s="68">
        <f t="shared" si="7"/>
        <v>78.103072735077859</v>
      </c>
      <c r="J105" s="69">
        <f t="shared" si="8"/>
        <v>101</v>
      </c>
      <c r="K105" s="70">
        <f t="shared" si="9"/>
        <v>2.0347599821972382E-3</v>
      </c>
      <c r="M105"/>
    </row>
    <row r="106" spans="4:13" x14ac:dyDescent="0.35">
      <c r="D106" s="49">
        <f>IF(F27&lt;&gt;"",NA(),(ROW()-ROW(D40))/100)</f>
        <v>0.66</v>
      </c>
      <c r="E106" s="50">
        <f>IF(F27&lt;&gt;"",NA(),IF(F25="u",F26+(1/2)*(LN((1-E25)/E25))^-1*(D27-E26)*LN(D106/(1-D106))+((1-2*E25)*(LN((1-E25)/E25)))^-1*(1-2*(F26-E26)/(D27-E26))*(D27-E26)*(D106-0.5)*LN(D106/(1-D106)),IF(F25="sl",D26+EXP(LN(F26-D26)+(1/2)*(LN((1-E25)/E25))^-1*LN((D27-D26)/(E26-D26))*LN(D106/(1-D106))+((1-2*E25)*(LN((1-E25)/E25)))^-1*LN(((D27-D26)*(E26-D26))/(F26-D26)^2)*(D106-0.5)*LN(D106/(1-D106))),IF(F25="su",E27-EXP(-(-LN(E27-F26)-(1/2)*(LN((1-E25)/E25))^-1*LN((E27-D27)/(E27-E26))*LN(D106/(1-D106))-((1-2*E25)*(LN((1-E25)/E25)))^-1*LN(((E27-D27)*(E27-E26))/(E27-F26)^2)*(D106-0.5)*LN(D106/(1-D106)))),IF(F25="b",(D26+E27*EXP(LN((F26-D26)/(E27-F26))+(1/2)*(LN((1-E25)/E25))^-1*LN(((D27-D26)/(E27-D27))/((E26-D26)/(E27-E26)))*LN(D106/(1-D106))+((1-2*E25)*(LN((1-E25)/E25)))^-1*LN((((D27-D26)/(E27-D27))*((E26-D26)/(E27-E26)))/((F26-D26)/(E27-F26))^2)*(D106-0.5)*LN(D106/(1-D106))))/(1+EXP(LN((F26-D26)/(E27-F26))+(1/2)*(LN((1-E25)/E25))^-1*LN(((D27-D26)/(E27-D27))/((E26-D26)/(E27-E26)))*LN(D106/(1-D106))+((1-2*E25)*(LN((1-E25)/E25)))^-1*LN((((D27-D26)/(E27-D27))*((E26-D26)/(E27-E26)))/((F26-D26)/(E27-F26))^2)*(D106-0.5)*LN(D106/(1-D106)))),NA())))))</f>
        <v>41.641320570297296</v>
      </c>
      <c r="F106" s="51">
        <f>IF(F27&lt;&gt;"",NA(),IF(F25="u",((1/2)*(LN((1-E25)/E25))^-1*(D27-E26)/(D106*(1-D106))+((1-2*E25)*(LN((1-E25)/E25)))^-1*(1-2*(F26-E26)/(D27-E26))*(D27-E26)*((D106-0.5)/(D106*(1-D106))+LN(D106/(1-D106))))^(-1),IF(F25="sl",((1/2)*(LN((1-E25)/E25))^-1*LN((D27-D26)/(E26-D26))/(D106*(1-D106))+((1-2*E25)*(LN((1-E25)/E25)))^-1*LN(((D27-D26)*(E26-D26))/(F26-D26)^2)*((D106-0.5)/(D106*(1-D106))+LN(D106/(1-D106))))^(-1)*EXP(-(LN(F26-D26)+(1/2)*(LN((1-E25)/E25))^-1*LN((D27-D26)/(E26-D26))*LN(D106/(1-D106))+((1-2*E25)*(LN((1-E25)/E25)))^-1*LN(((D27-D26)*(E26-D26))/(F26-D26)^2)*(D106-0.5)*LN(D106/(1-D106)))),IF(F25="su",(-(1/2)*(LN((1-E25)/E25))^-1*LN((E27-D27)/(E27-E26))/(D106*(1-D106))-((1-2*E25)*(LN((1-E25)/E25)))^-1*LN(((E27-D27)*(E27-E26))/(E27-F26)^2)*((D106-0.5)/(D106*(1-D106))+LN(D106/(1-D106))))^(-1)*EXP((-LN(E27-F26)-(1/2)*(LN((1-E25)/E25))^-1*LN((E27-D27)/(E27-E26))*LN(D106/(1-D106))-((1-2*E25)*(LN((1-E25)/E25)))^-1*LN(((E27-D27)*(E27-E26))/(E27-F26)^2)*(D106-0.5)*LN(D106/(1-D106)))),IF(F25="b",((1/2)*(LN((1-E25)/E25))^-1*LN(((D27-D26)/(E27-D27))/((E26-D26)/(E27-E26)))/(D106*(1-D106))+((1-2*E25)*(LN((1-E25)/E25)))^-1*LN((((D27-D26)/(E27-D27))*((E26-D26)/(E27-E26)))/((F26-D26)/(E27-F26))^2)*((D106-0.5)/(D106*(1-D106))+LN(D106/(1-D106))))^(-1)*(1+EXP(LN((F26-D26)/(E27-F26))+(1/2)*(LN((1-E25)/E25))^-1*LN(((D27-D26)/(E27-D27))/((E26-D26)/(E27-E26)))*LN(D106/(1-D106))+((1-2*E25)*(LN((1-E25)/E25)))^-1*LN((((D27-D26)/(E27-D27))*((E26-D26)/(E27-E26)))/((F26-D26)/(E27-F26))^2)*(D106-0.5)*LN(D106/(1-D106))))^2/((E27-D26)*EXP(LN((F26-D26)/(E27-F26))+(1/2)*(LN((1-E25)/E25))^-1*LN(((D27-D26)/(E27-D27))/((E26-D26)/(E27-E26)))*LN(D106/(1-D106))+((1-2*E25)*(LN((1-E25)/E25)))^-1*LN((((D27-D26)/(E27-D27))*((E26-D26)/(E27-E26)))/((F26-D26)/(E27-F26))^2)*(D106-0.5)*LN(D106/(1-D106)))),NA())))))</f>
        <v>2.0664125345515472E-2</v>
      </c>
      <c r="H106" s="71">
        <v>70</v>
      </c>
      <c r="I106" s="68">
        <f t="shared" si="7"/>
        <v>79.373133165020946</v>
      </c>
      <c r="J106" s="69">
        <f t="shared" si="8"/>
        <v>101</v>
      </c>
      <c r="K106" s="70">
        <f t="shared" si="9"/>
        <v>1.8465780657388523E-3</v>
      </c>
      <c r="M106"/>
    </row>
    <row r="107" spans="4:13" x14ac:dyDescent="0.35">
      <c r="D107" s="49">
        <f>IF(F27&lt;&gt;"",NA(),(ROW()-ROW(D40))/100)</f>
        <v>0.67</v>
      </c>
      <c r="E107" s="50">
        <f>IF(F27&lt;&gt;"",NA(),IF(F25="u",F26+(1/2)*(LN((1-E25)/E25))^-1*(D27-E26)*LN(D107/(1-D107))+((1-2*E25)*(LN((1-E25)/E25)))^-1*(1-2*(F26-E26)/(D27-E26))*(D27-E26)*(D107-0.5)*LN(D107/(1-D107)),IF(F25="sl",D26+EXP(LN(F26-D26)+(1/2)*(LN((1-E25)/E25))^-1*LN((D27-D26)/(E26-D26))*LN(D107/(1-D107))+((1-2*E25)*(LN((1-E25)/E25)))^-1*LN(((D27-D26)*(E26-D26))/(F26-D26)^2)*(D107-0.5)*LN(D107/(1-D107))),IF(F25="su",E27-EXP(-(-LN(E27-F26)-(1/2)*(LN((1-E25)/E25))^-1*LN((E27-D27)/(E27-E26))*LN(D107/(1-D107))-((1-2*E25)*(LN((1-E25)/E25)))^-1*LN(((E27-D27)*(E27-E26))/(E27-F26)^2)*(D107-0.5)*LN(D107/(1-D107)))),IF(F25="b",(D26+E27*EXP(LN((F26-D26)/(E27-F26))+(1/2)*(LN((1-E25)/E25))^-1*LN(((D27-D26)/(E27-D27))/((E26-D26)/(E27-E26)))*LN(D107/(1-D107))+((1-2*E25)*(LN((1-E25)/E25)))^-1*LN((((D27-D26)/(E27-D27))*((E26-D26)/(E27-E26)))/((F26-D26)/(E27-F26))^2)*(D107-0.5)*LN(D107/(1-D107))))/(1+EXP(LN((F26-D26)/(E27-F26))+(1/2)*(LN((1-E25)/E25))^-1*LN(((D27-D26)/(E27-D27))/((E26-D26)/(E27-E26)))*LN(D107/(1-D107))+((1-2*E25)*(LN((1-E25)/E25)))^-1*LN((((D27-D26)/(E27-D27))*((E26-D26)/(E27-E26)))/((F26-D26)/(E27-F26))^2)*(D107-0.5)*LN(D107/(1-D107)))),NA())))))</f>
        <v>42.131084627487148</v>
      </c>
      <c r="F107" s="51">
        <f>IF(F27&lt;&gt;"",NA(),IF(F25="u",((1/2)*(LN((1-E25)/E25))^-1*(D27-E26)/(D107*(1-D107))+((1-2*E25)*(LN((1-E25)/E25)))^-1*(1-2*(F26-E26)/(D27-E26))*(D27-E26)*((D107-0.5)/(D107*(1-D107))+LN(D107/(1-D107))))^(-1),IF(F25="sl",((1/2)*(LN((1-E25)/E25))^-1*LN((D27-D26)/(E26-D26))/(D107*(1-D107))+((1-2*E25)*(LN((1-E25)/E25)))^-1*LN(((D27-D26)*(E26-D26))/(F26-D26)^2)*((D107-0.5)/(D107*(1-D107))+LN(D107/(1-D107))))^(-1)*EXP(-(LN(F26-D26)+(1/2)*(LN((1-E25)/E25))^-1*LN((D27-D26)/(E26-D26))*LN(D107/(1-D107))+((1-2*E25)*(LN((1-E25)/E25)))^-1*LN(((D27-D26)*(E26-D26))/(F26-D26)^2)*(D107-0.5)*LN(D107/(1-D107)))),IF(F25="su",(-(1/2)*(LN((1-E25)/E25))^-1*LN((E27-D27)/(E27-E26))/(D107*(1-D107))-((1-2*E25)*(LN((1-E25)/E25)))^-1*LN(((E27-D27)*(E27-E26))/(E27-F26)^2)*((D107-0.5)/(D107*(1-D107))+LN(D107/(1-D107))))^(-1)*EXP((-LN(E27-F26)-(1/2)*(LN((1-E25)/E25))^-1*LN((E27-D27)/(E27-E26))*LN(D107/(1-D107))-((1-2*E25)*(LN((1-E25)/E25)))^-1*LN(((E27-D27)*(E27-E26))/(E27-F26)^2)*(D107-0.5)*LN(D107/(1-D107)))),IF(F25="b",((1/2)*(LN((1-E25)/E25))^-1*LN(((D27-D26)/(E27-D27))/((E26-D26)/(E27-E26)))/(D107*(1-D107))+((1-2*E25)*(LN((1-E25)/E25)))^-1*LN((((D27-D26)/(E27-D27))*((E26-D26)/(E27-E26)))/((F26-D26)/(E27-F26))^2)*((D107-0.5)/(D107*(1-D107))+LN(D107/(1-D107))))^(-1)*(1+EXP(LN((F26-D26)/(E27-F26))+(1/2)*(LN((1-E25)/E25))^-1*LN(((D27-D26)/(E27-D27))/((E26-D26)/(E27-E26)))*LN(D107/(1-D107))+((1-2*E25)*(LN((1-E25)/E25)))^-1*LN((((D27-D26)/(E27-D27))*((E26-D26)/(E27-E26)))/((F26-D26)/(E27-F26))^2)*(D107-0.5)*LN(D107/(1-D107))))^2/((E27-D26)*EXP(LN((F26-D26)/(E27-F26))+(1/2)*(LN((1-E25)/E25))^-1*LN(((D27-D26)/(E27-D27))/((E26-D26)/(E27-E26)))*LN(D107/(1-D107))+((1-2*E25)*(LN((1-E25)/E25)))^-1*LN((((D27-D26)/(E27-D27))*((E26-D26)/(E27-E26)))/((F26-D26)/(E27-F26))^2)*(D107-0.5)*LN(D107/(1-D107)))),NA())))))</f>
        <v>2.0172800530890621E-2</v>
      </c>
      <c r="H107" s="71">
        <v>71</v>
      </c>
      <c r="I107" s="68">
        <f t="shared" si="7"/>
        <v>80.643193594964032</v>
      </c>
      <c r="J107" s="69">
        <f t="shared" si="8"/>
        <v>101</v>
      </c>
      <c r="K107" s="70">
        <f t="shared" si="9"/>
        <v>1.6583961492804662E-3</v>
      </c>
      <c r="M107"/>
    </row>
    <row r="108" spans="4:13" x14ac:dyDescent="0.35">
      <c r="D108" s="49">
        <f>IF(F27&lt;&gt;"",NA(),(ROW()-ROW(D40))/100)</f>
        <v>0.68</v>
      </c>
      <c r="E108" s="50">
        <f>IF(F27&lt;&gt;"",NA(),IF(F25="u",F26+(1/2)*(LN((1-E25)/E25))^-1*(D27-E26)*LN(D108/(1-D108))+((1-2*E25)*(LN((1-E25)/E25)))^-1*(1-2*(F26-E26)/(D27-E26))*(D27-E26)*(D108-0.5)*LN(D108/(1-D108)),IF(F25="sl",D26+EXP(LN(F26-D26)+(1/2)*(LN((1-E25)/E25))^-1*LN((D27-D26)/(E26-D26))*LN(D108/(1-D108))+((1-2*E25)*(LN((1-E25)/E25)))^-1*LN(((D27-D26)*(E26-D26))/(F26-D26)^2)*(D108-0.5)*LN(D108/(1-D108))),IF(F25="su",E27-EXP(-(-LN(E27-F26)-(1/2)*(LN((1-E25)/E25))^-1*LN((E27-D27)/(E27-E26))*LN(D108/(1-D108))-((1-2*E25)*(LN((1-E25)/E25)))^-1*LN(((E27-D27)*(E27-E26))/(E27-F26)^2)*(D108-0.5)*LN(D108/(1-D108)))),IF(F25="b",(D26+E27*EXP(LN((F26-D26)/(E27-F26))+(1/2)*(LN((1-E25)/E25))^-1*LN(((D27-D26)/(E27-D27))/((E26-D26)/(E27-E26)))*LN(D108/(1-D108))+((1-2*E25)*(LN((1-E25)/E25)))^-1*LN((((D27-D26)/(E27-D27))*((E26-D26)/(E27-E26)))/((F26-D26)/(E27-F26))^2)*(D108-0.5)*LN(D108/(1-D108))))/(1+EXP(LN((F26-D26)/(E27-F26))+(1/2)*(LN((1-E25)/E25))^-1*LN(((D27-D26)/(E27-D27))/((E26-D26)/(E27-E26)))*LN(D108/(1-D108))+((1-2*E25)*(LN((1-E25)/E25)))^-1*LN((((D27-D26)/(E27-D27))*((E26-D26)/(E27-E26)))/((F26-D26)/(E27-F26))^2)*(D108-0.5)*LN(D108/(1-D108)))),NA())))))</f>
        <v>42.633003369736151</v>
      </c>
      <c r="F108" s="51">
        <f>IF(F27&lt;&gt;"",NA(),IF(F25="u",((1/2)*(LN((1-E25)/E25))^-1*(D27-E26)/(D108*(1-D108))+((1-2*E25)*(LN((1-E25)/E25)))^-1*(1-2*(F26-E26)/(D27-E26))*(D27-E26)*((D108-0.5)/(D108*(1-D108))+LN(D108/(1-D108))))^(-1),IF(F25="sl",((1/2)*(LN((1-E25)/E25))^-1*LN((D27-D26)/(E26-D26))/(D108*(1-D108))+((1-2*E25)*(LN((1-E25)/E25)))^-1*LN(((D27-D26)*(E26-D26))/(F26-D26)^2)*((D108-0.5)/(D108*(1-D108))+LN(D108/(1-D108))))^(-1)*EXP(-(LN(F26-D26)+(1/2)*(LN((1-E25)/E25))^-1*LN((D27-D26)/(E26-D26))*LN(D108/(1-D108))+((1-2*E25)*(LN((1-E25)/E25)))^-1*LN(((D27-D26)*(E26-D26))/(F26-D26)^2)*(D108-0.5)*LN(D108/(1-D108)))),IF(F25="su",(-(1/2)*(LN((1-E25)/E25))^-1*LN((E27-D27)/(E27-E26))/(D108*(1-D108))-((1-2*E25)*(LN((1-E25)/E25)))^-1*LN(((E27-D27)*(E27-E26))/(E27-F26)^2)*((D108-0.5)/(D108*(1-D108))+LN(D108/(1-D108))))^(-1)*EXP((-LN(E27-F26)-(1/2)*(LN((1-E25)/E25))^-1*LN((E27-D27)/(E27-E26))*LN(D108/(1-D108))-((1-2*E25)*(LN((1-E25)/E25)))^-1*LN(((E27-D27)*(E27-E26))/(E27-F26)^2)*(D108-0.5)*LN(D108/(1-D108)))),IF(F25="b",((1/2)*(LN((1-E25)/E25))^-1*LN(((D27-D26)/(E27-D27))/((E26-D26)/(E27-E26)))/(D108*(1-D108))+((1-2*E25)*(LN((1-E25)/E25)))^-1*LN((((D27-D26)/(E27-D27))*((E26-D26)/(E27-E26)))/((F26-D26)/(E27-F26))^2)*((D108-0.5)/(D108*(1-D108))+LN(D108/(1-D108))))^(-1)*(1+EXP(LN((F26-D26)/(E27-F26))+(1/2)*(LN((1-E25)/E25))^-1*LN(((D27-D26)/(E27-D27))/((E26-D26)/(E27-E26)))*LN(D108/(1-D108))+((1-2*E25)*(LN((1-E25)/E25)))^-1*LN((((D27-D26)/(E27-D27))*((E26-D26)/(E27-E26)))/((F26-D26)/(E27-F26))^2)*(D108-0.5)*LN(D108/(1-D108))))^2/((E27-D26)*EXP(LN((F26-D26)/(E27-F26))+(1/2)*(LN((1-E25)/E25))^-1*LN(((D27-D26)/(E27-D27))/((E26-D26)/(E27-E26)))*LN(D108/(1-D108))+((1-2*E25)*(LN((1-E25)/E25)))^-1*LN((((D27-D26)/(E27-D27))*((E26-D26)/(E27-E26)))/((F26-D26)/(E27-F26))^2)*(D108-0.5)*LN(D108/(1-D108)))),NA())))))</f>
        <v>1.9675348401730269E-2</v>
      </c>
      <c r="H108" s="71">
        <v>72</v>
      </c>
      <c r="I108" s="68">
        <f t="shared" si="7"/>
        <v>81.913254024907118</v>
      </c>
      <c r="J108" s="69">
        <f t="shared" si="8"/>
        <v>102</v>
      </c>
      <c r="K108" s="70">
        <f t="shared" si="9"/>
        <v>1.519253504693052E-3</v>
      </c>
      <c r="M108"/>
    </row>
    <row r="109" spans="4:13" x14ac:dyDescent="0.35">
      <c r="D109" s="49">
        <f>IF(F27&lt;&gt;"",NA(),(ROW()-ROW(D40))/100)</f>
        <v>0.69</v>
      </c>
      <c r="E109" s="50">
        <f>IF(F27&lt;&gt;"",NA(),IF(F25="u",F26+(1/2)*(LN((1-E25)/E25))^-1*(D27-E26)*LN(D109/(1-D109))+((1-2*E25)*(LN((1-E25)/E25)))^-1*(1-2*(F26-E26)/(D27-E26))*(D27-E26)*(D109-0.5)*LN(D109/(1-D109)),IF(F25="sl",D26+EXP(LN(F26-D26)+(1/2)*(LN((1-E25)/E25))^-1*LN((D27-D26)/(E26-D26))*LN(D109/(1-D109))+((1-2*E25)*(LN((1-E25)/E25)))^-1*LN(((D27-D26)*(E26-D26))/(F26-D26)^2)*(D109-0.5)*LN(D109/(1-D109))),IF(F25="su",E27-EXP(-(-LN(E27-F26)-(1/2)*(LN((1-E25)/E25))^-1*LN((E27-D27)/(E27-E26))*LN(D109/(1-D109))-((1-2*E25)*(LN((1-E25)/E25)))^-1*LN(((E27-D27)*(E27-E26))/(E27-F26)^2)*(D109-0.5)*LN(D109/(1-D109)))),IF(F25="b",(D26+E27*EXP(LN((F26-D26)/(E27-F26))+(1/2)*(LN((1-E25)/E25))^-1*LN(((D27-D26)/(E27-D27))/((E26-D26)/(E27-E26)))*LN(D109/(1-D109))+((1-2*E25)*(LN((1-E25)/E25)))^-1*LN((((D27-D26)/(E27-D27))*((E26-D26)/(E27-E26)))/((F26-D26)/(E27-F26))^2)*(D109-0.5)*LN(D109/(1-D109))))/(1+EXP(LN((F26-D26)/(E27-F26))+(1/2)*(LN((1-E25)/E25))^-1*LN(((D27-D26)/(E27-D27))/((E26-D26)/(E27-E26)))*LN(D109/(1-D109))+((1-2*E25)*(LN((1-E25)/E25)))^-1*LN((((D27-D26)/(E27-D27))*((E26-D26)/(E27-E26)))/((F26-D26)/(E27-F26))^2)*(D109-0.5)*LN(D109/(1-D109)))),NA())))))</f>
        <v>43.147855947302673</v>
      </c>
      <c r="F109" s="51">
        <f>IF(F27&lt;&gt;"",NA(),IF(F25="u",((1/2)*(LN((1-E25)/E25))^-1*(D27-E26)/(D109*(1-D109))+((1-2*E25)*(LN((1-E25)/E25)))^-1*(1-2*(F26-E26)/(D27-E26))*(D27-E26)*((D109-0.5)/(D109*(1-D109))+LN(D109/(1-D109))))^(-1),IF(F25="sl",((1/2)*(LN((1-E25)/E25))^-1*LN((D27-D26)/(E26-D26))/(D109*(1-D109))+((1-2*E25)*(LN((1-E25)/E25)))^-1*LN(((D27-D26)*(E26-D26))/(F26-D26)^2)*((D109-0.5)/(D109*(1-D109))+LN(D109/(1-D109))))^(-1)*EXP(-(LN(F26-D26)+(1/2)*(LN((1-E25)/E25))^-1*LN((D27-D26)/(E26-D26))*LN(D109/(1-D109))+((1-2*E25)*(LN((1-E25)/E25)))^-1*LN(((D27-D26)*(E26-D26))/(F26-D26)^2)*(D109-0.5)*LN(D109/(1-D109)))),IF(F25="su",(-(1/2)*(LN((1-E25)/E25))^-1*LN((E27-D27)/(E27-E26))/(D109*(1-D109))-((1-2*E25)*(LN((1-E25)/E25)))^-1*LN(((E27-D27)*(E27-E26))/(E27-F26)^2)*((D109-0.5)/(D109*(1-D109))+LN(D109/(1-D109))))^(-1)*EXP((-LN(E27-F26)-(1/2)*(LN((1-E25)/E25))^-1*LN((E27-D27)/(E27-E26))*LN(D109/(1-D109))-((1-2*E25)*(LN((1-E25)/E25)))^-1*LN(((E27-D27)*(E27-E26))/(E27-F26)^2)*(D109-0.5)*LN(D109/(1-D109)))),IF(F25="b",((1/2)*(LN((1-E25)/E25))^-1*LN(((D27-D26)/(E27-D27))/((E26-D26)/(E27-E26)))/(D109*(1-D109))+((1-2*E25)*(LN((1-E25)/E25)))^-1*LN((((D27-D26)/(E27-D27))*((E26-D26)/(E27-E26)))/((F26-D26)/(E27-F26))^2)*((D109-0.5)/(D109*(1-D109))+LN(D109/(1-D109))))^(-1)*(1+EXP(LN((F26-D26)/(E27-F26))+(1/2)*(LN((1-E25)/E25))^-1*LN(((D27-D26)/(E27-D27))/((E26-D26)/(E27-E26)))*LN(D109/(1-D109))+((1-2*E25)*(LN((1-E25)/E25)))^-1*LN((((D27-D26)/(E27-D27))*((E26-D26)/(E27-E26)))/((F26-D26)/(E27-F26))^2)*(D109-0.5)*LN(D109/(1-D109))))^2/((E27-D26)*EXP(LN((F26-D26)/(E27-F26))+(1/2)*(LN((1-E25)/E25))^-1*LN(((D27-D26)/(E27-D27))/((E26-D26)/(E27-E26)))*LN(D109/(1-D109))+((1-2*E25)*(LN((1-E25)/E25)))^-1*LN((((D27-D26)/(E27-D27))*((E26-D26)/(E27-E26)))/((F26-D26)/(E27-F26))^2)*(D109-0.5)*LN(D109/(1-D109)))),NA())))))</f>
        <v>1.9171910812658632E-2</v>
      </c>
      <c r="H109" s="71">
        <v>73</v>
      </c>
      <c r="I109" s="68">
        <f t="shared" si="7"/>
        <v>83.183314454850205</v>
      </c>
      <c r="J109" s="69">
        <f t="shared" si="8"/>
        <v>102</v>
      </c>
      <c r="K109" s="70">
        <f t="shared" si="9"/>
        <v>1.403416392100435E-3</v>
      </c>
      <c r="M109"/>
    </row>
    <row r="110" spans="4:13" x14ac:dyDescent="0.35">
      <c r="D110" s="49">
        <f>IF(F27&lt;&gt;"",NA(),(ROW()-ROW(D40))/100)</f>
        <v>0.7</v>
      </c>
      <c r="E110" s="50">
        <f>IF(F27&lt;&gt;"",NA(),IF(F25="u",F26+(1/2)*(LN((1-E25)/E25))^-1*(D27-E26)*LN(D110/(1-D110))+((1-2*E25)*(LN((1-E25)/E25)))^-1*(1-2*(F26-E26)/(D27-E26))*(D27-E26)*(D110-0.5)*LN(D110/(1-D110)),IF(F25="sl",D26+EXP(LN(F26-D26)+(1/2)*(LN((1-E25)/E25))^-1*LN((D27-D26)/(E26-D26))*LN(D110/(1-D110))+((1-2*E25)*(LN((1-E25)/E25)))^-1*LN(((D27-D26)*(E26-D26))/(F26-D26)^2)*(D110-0.5)*LN(D110/(1-D110))),IF(F25="su",E27-EXP(-(-LN(E27-F26)-(1/2)*(LN((1-E25)/E25))^-1*LN((E27-D27)/(E27-E26))*LN(D110/(1-D110))-((1-2*E25)*(LN((1-E25)/E25)))^-1*LN(((E27-D27)*(E27-E26))/(E27-F26)^2)*(D110-0.5)*LN(D110/(1-D110)))),IF(F25="b",(D26+E27*EXP(LN((F26-D26)/(E27-F26))+(1/2)*(LN((1-E25)/E25))^-1*LN(((D27-D26)/(E27-D27))/((E26-D26)/(E27-E26)))*LN(D110/(1-D110))+((1-2*E25)*(LN((1-E25)/E25)))^-1*LN((((D27-D26)/(E27-D27))*((E26-D26)/(E27-E26)))/((F26-D26)/(E27-F26))^2)*(D110-0.5)*LN(D110/(1-D110))))/(1+EXP(LN((F26-D26)/(E27-F26))+(1/2)*(LN((1-E25)/E25))^-1*LN(((D27-D26)/(E27-D27))/((E26-D26)/(E27-E26)))*LN(D110/(1-D110))+((1-2*E25)*(LN((1-E25)/E25)))^-1*LN((((D27-D26)/(E27-D27))*((E26-D26)/(E27-E26)))/((F26-D26)/(E27-F26))^2)*(D110-0.5)*LN(D110/(1-D110)))),NA())))))</f>
        <v>43.676492178065992</v>
      </c>
      <c r="F110" s="51">
        <f>IF(F27&lt;&gt;"",NA(),IF(F25="u",((1/2)*(LN((1-E25)/E25))^-1*(D27-E26)/(D110*(1-D110))+((1-2*E25)*(LN((1-E25)/E25)))^-1*(1-2*(F26-E26)/(D27-E26))*(D27-E26)*((D110-0.5)/(D110*(1-D110))+LN(D110/(1-D110))))^(-1),IF(F25="sl",((1/2)*(LN((1-E25)/E25))^-1*LN((D27-D26)/(E26-D26))/(D110*(1-D110))+((1-2*E25)*(LN((1-E25)/E25)))^-1*LN(((D27-D26)*(E26-D26))/(F26-D26)^2)*((D110-0.5)/(D110*(1-D110))+LN(D110/(1-D110))))^(-1)*EXP(-(LN(F26-D26)+(1/2)*(LN((1-E25)/E25))^-1*LN((D27-D26)/(E26-D26))*LN(D110/(1-D110))+((1-2*E25)*(LN((1-E25)/E25)))^-1*LN(((D27-D26)*(E26-D26))/(F26-D26)^2)*(D110-0.5)*LN(D110/(1-D110)))),IF(F25="su",(-(1/2)*(LN((1-E25)/E25))^-1*LN((E27-D27)/(E27-E26))/(D110*(1-D110))-((1-2*E25)*(LN((1-E25)/E25)))^-1*LN(((E27-D27)*(E27-E26))/(E27-F26)^2)*((D110-0.5)/(D110*(1-D110))+LN(D110/(1-D110))))^(-1)*EXP((-LN(E27-F26)-(1/2)*(LN((1-E25)/E25))^-1*LN((E27-D27)/(E27-E26))*LN(D110/(1-D110))-((1-2*E25)*(LN((1-E25)/E25)))^-1*LN(((E27-D27)*(E27-E26))/(E27-F26)^2)*(D110-0.5)*LN(D110/(1-D110)))),IF(F25="b",((1/2)*(LN((1-E25)/E25))^-1*LN(((D27-D26)/(E27-D27))/((E26-D26)/(E27-E26)))/(D110*(1-D110))+((1-2*E25)*(LN((1-E25)/E25)))^-1*LN((((D27-D26)/(E27-D27))*((E26-D26)/(E27-E26)))/((F26-D26)/(E27-F26))^2)*((D110-0.5)/(D110*(1-D110))+LN(D110/(1-D110))))^(-1)*(1+EXP(LN((F26-D26)/(E27-F26))+(1/2)*(LN((1-E25)/E25))^-1*LN(((D27-D26)/(E27-D27))/((E26-D26)/(E27-E26)))*LN(D110/(1-D110))+((1-2*E25)*(LN((1-E25)/E25)))^-1*LN((((D27-D26)/(E27-D27))*((E26-D26)/(E27-E26)))/((F26-D26)/(E27-F26))^2)*(D110-0.5)*LN(D110/(1-D110))))^2/((E27-D26)*EXP(LN((F26-D26)/(E27-F26))+(1/2)*(LN((1-E25)/E25))^-1*LN(((D27-D26)/(E27-D27))/((E26-D26)/(E27-E26)))*LN(D110/(1-D110))+((1-2*E25)*(LN((1-E25)/E25)))^-1*LN((((D27-D26)/(E27-D27))*((E26-D26)/(E27-E26)))/((F26-D26)/(E27-F26))^2)*(D110-0.5)*LN(D110/(1-D110)))),NA())))))</f>
        <v>1.8662604488981903E-2</v>
      </c>
      <c r="H110" s="71">
        <v>74</v>
      </c>
      <c r="I110" s="68">
        <f t="shared" si="7"/>
        <v>84.453374884793291</v>
      </c>
      <c r="J110" s="69">
        <f t="shared" si="8"/>
        <v>102</v>
      </c>
      <c r="K110" s="70">
        <f t="shared" si="9"/>
        <v>1.287579279507818E-3</v>
      </c>
      <c r="M110"/>
    </row>
    <row r="111" spans="4:13" x14ac:dyDescent="0.35">
      <c r="D111" s="49">
        <f>IF(F27&lt;&gt;"",NA(),(ROW()-ROW(D40))/100)</f>
        <v>0.71</v>
      </c>
      <c r="E111" s="50">
        <f>IF(F27&lt;&gt;"",NA(),IF(F25="u",F26+(1/2)*(LN((1-E25)/E25))^-1*(D27-E26)*LN(D111/(1-D111))+((1-2*E25)*(LN((1-E25)/E25)))^-1*(1-2*(F26-E26)/(D27-E26))*(D27-E26)*(D111-0.5)*LN(D111/(1-D111)),IF(F25="sl",D26+EXP(LN(F26-D26)+(1/2)*(LN((1-E25)/E25))^-1*LN((D27-D26)/(E26-D26))*LN(D111/(1-D111))+((1-2*E25)*(LN((1-E25)/E25)))^-1*LN(((D27-D26)*(E26-D26))/(F26-D26)^2)*(D111-0.5)*LN(D111/(1-D111))),IF(F25="su",E27-EXP(-(-LN(E27-F26)-(1/2)*(LN((1-E25)/E25))^-1*LN((E27-D27)/(E27-E26))*LN(D111/(1-D111))-((1-2*E25)*(LN((1-E25)/E25)))^-1*LN(((E27-D27)*(E27-E26))/(E27-F26)^2)*(D111-0.5)*LN(D111/(1-D111)))),IF(F25="b",(D26+E27*EXP(LN((F26-D26)/(E27-F26))+(1/2)*(LN((1-E25)/E25))^-1*LN(((D27-D26)/(E27-D27))/((E26-D26)/(E27-E26)))*LN(D111/(1-D111))+((1-2*E25)*(LN((1-E25)/E25)))^-1*LN((((D27-D26)/(E27-D27))*((E26-D26)/(E27-E26)))/((F26-D26)/(E27-F26))^2)*(D111-0.5)*LN(D111/(1-D111))))/(1+EXP(LN((F26-D26)/(E27-F26))+(1/2)*(LN((1-E25)/E25))^-1*LN(((D27-D26)/(E27-D27))/((E26-D26)/(E27-E26)))*LN(D111/(1-D111))+((1-2*E25)*(LN((1-E25)/E25)))^-1*LN((((D27-D26)/(E27-D27))*((E26-D26)/(E27-E26)))/((F26-D26)/(E27-F26))^2)*(D111-0.5)*LN(D111/(1-D111)))),NA())))))</f>
        <v>44.219842283566393</v>
      </c>
      <c r="F111" s="51">
        <f>IF(F27&lt;&gt;"",NA(),IF(F25="u",((1/2)*(LN((1-E25)/E25))^-1*(D27-E26)/(D111*(1-D111))+((1-2*E25)*(LN((1-E25)/E25)))^-1*(1-2*(F26-E26)/(D27-E26))*(D27-E26)*((D111-0.5)/(D111*(1-D111))+LN(D111/(1-D111))))^(-1),IF(F25="sl",((1/2)*(LN((1-E25)/E25))^-1*LN((D27-D26)/(E26-D26))/(D111*(1-D111))+((1-2*E25)*(LN((1-E25)/E25)))^-1*LN(((D27-D26)*(E26-D26))/(F26-D26)^2)*((D111-0.5)/(D111*(1-D111))+LN(D111/(1-D111))))^(-1)*EXP(-(LN(F26-D26)+(1/2)*(LN((1-E25)/E25))^-1*LN((D27-D26)/(E26-D26))*LN(D111/(1-D111))+((1-2*E25)*(LN((1-E25)/E25)))^-1*LN(((D27-D26)*(E26-D26))/(F26-D26)^2)*(D111-0.5)*LN(D111/(1-D111)))),IF(F25="su",(-(1/2)*(LN((1-E25)/E25))^-1*LN((E27-D27)/(E27-E26))/(D111*(1-D111))-((1-2*E25)*(LN((1-E25)/E25)))^-1*LN(((E27-D27)*(E27-E26))/(E27-F26)^2)*((D111-0.5)/(D111*(1-D111))+LN(D111/(1-D111))))^(-1)*EXP((-LN(E27-F26)-(1/2)*(LN((1-E25)/E25))^-1*LN((E27-D27)/(E27-E26))*LN(D111/(1-D111))-((1-2*E25)*(LN((1-E25)/E25)))^-1*LN(((E27-D27)*(E27-E26))/(E27-F26)^2)*(D111-0.5)*LN(D111/(1-D111)))),IF(F25="b",((1/2)*(LN((1-E25)/E25))^-1*LN(((D27-D26)/(E27-D27))/((E26-D26)/(E27-E26)))/(D111*(1-D111))+((1-2*E25)*(LN((1-E25)/E25)))^-1*LN((((D27-D26)/(E27-D27))*((E26-D26)/(E27-E26)))/((F26-D26)/(E27-F26))^2)*((D111-0.5)/(D111*(1-D111))+LN(D111/(1-D111))))^(-1)*(1+EXP(LN((F26-D26)/(E27-F26))+(1/2)*(LN((1-E25)/E25))^-1*LN(((D27-D26)/(E27-D27))/((E26-D26)/(E27-E26)))*LN(D111/(1-D111))+((1-2*E25)*(LN((1-E25)/E25)))^-1*LN((((D27-D26)/(E27-D27))*((E26-D26)/(E27-E26)))/((F26-D26)/(E27-F26))^2)*(D111-0.5)*LN(D111/(1-D111))))^2/((E27-D26)*EXP(LN((F26-D26)/(E27-F26))+(1/2)*(LN((1-E25)/E25))^-1*LN(((D27-D26)/(E27-D27))/((E26-D26)/(E27-E26)))*LN(D111/(1-D111))+((1-2*E25)*(LN((1-E25)/E25)))^-1*LN((((D27-D26)/(E27-D27))*((E26-D26)/(E27-E26)))/((F26-D26)/(E27-F26))^2)*(D111-0.5)*LN(D111/(1-D111)))),NA())))))</f>
        <v>1.8147521483253586E-2</v>
      </c>
      <c r="H111" s="71">
        <v>75</v>
      </c>
      <c r="I111" s="68">
        <f t="shared" si="7"/>
        <v>85.723435314736378</v>
      </c>
      <c r="J111" s="69">
        <f t="shared" si="8"/>
        <v>102</v>
      </c>
      <c r="K111" s="70">
        <f t="shared" si="9"/>
        <v>1.1717421669152012E-3</v>
      </c>
      <c r="M111"/>
    </row>
    <row r="112" spans="4:13" x14ac:dyDescent="0.35">
      <c r="D112" s="49">
        <f>IF(F27&lt;&gt;"",NA(),(ROW()-ROW(D40))/100)</f>
        <v>0.72</v>
      </c>
      <c r="E112" s="50">
        <f>IF(F27&lt;&gt;"",NA(),IF(F25="u",F26+(1/2)*(LN((1-E25)/E25))^-1*(D27-E26)*LN(D112/(1-D112))+((1-2*E25)*(LN((1-E25)/E25)))^-1*(1-2*(F26-E26)/(D27-E26))*(D27-E26)*(D112-0.5)*LN(D112/(1-D112)),IF(F25="sl",D26+EXP(LN(F26-D26)+(1/2)*(LN((1-E25)/E25))^-1*LN((D27-D26)/(E26-D26))*LN(D112/(1-D112))+((1-2*E25)*(LN((1-E25)/E25)))^-1*LN(((D27-D26)*(E26-D26))/(F26-D26)^2)*(D112-0.5)*LN(D112/(1-D112))),IF(F25="su",E27-EXP(-(-LN(E27-F26)-(1/2)*(LN((1-E25)/E25))^-1*LN((E27-D27)/(E27-E26))*LN(D112/(1-D112))-((1-2*E25)*(LN((1-E25)/E25)))^-1*LN(((E27-D27)*(E27-E26))/(E27-F26)^2)*(D112-0.5)*LN(D112/(1-D112)))),IF(F25="b",(D26+E27*EXP(LN((F26-D26)/(E27-F26))+(1/2)*(LN((1-E25)/E25))^-1*LN(((D27-D26)/(E27-D27))/((E26-D26)/(E27-E26)))*LN(D112/(1-D112))+((1-2*E25)*(LN((1-E25)/E25)))^-1*LN((((D27-D26)/(E27-D27))*((E26-D26)/(E27-E26)))/((F26-D26)/(E27-F26))^2)*(D112-0.5)*LN(D112/(1-D112))))/(1+EXP(LN((F26-D26)/(E27-F26))+(1/2)*(LN((1-E25)/E25))^-1*LN(((D27-D26)/(E27-D27))/((E26-D26)/(E27-E26)))*LN(D112/(1-D112))+((1-2*E25)*(LN((1-E25)/E25)))^-1*LN((((D27-D26)/(E27-D27))*((E26-D26)/(E27-E26)))/((F26-D26)/(E27-F26))^2)*(D112-0.5)*LN(D112/(1-D112)))),NA())))))</f>
        <v>44.778928300164154</v>
      </c>
      <c r="F112" s="51">
        <f>IF(F27&lt;&gt;"",NA(),IF(F25="u",((1/2)*(LN((1-E25)/E25))^-1*(D27-E26)/(D112*(1-D112))+((1-2*E25)*(LN((1-E25)/E25)))^-1*(1-2*(F26-E26)/(D27-E26))*(D27-E26)*((D112-0.5)/(D112*(1-D112))+LN(D112/(1-D112))))^(-1),IF(F25="sl",((1/2)*(LN((1-E25)/E25))^-1*LN((D27-D26)/(E26-D26))/(D112*(1-D112))+((1-2*E25)*(LN((1-E25)/E25)))^-1*LN(((D27-D26)*(E26-D26))/(F26-D26)^2)*((D112-0.5)/(D112*(1-D112))+LN(D112/(1-D112))))^(-1)*EXP(-(LN(F26-D26)+(1/2)*(LN((1-E25)/E25))^-1*LN((D27-D26)/(E26-D26))*LN(D112/(1-D112))+((1-2*E25)*(LN((1-E25)/E25)))^-1*LN(((D27-D26)*(E26-D26))/(F26-D26)^2)*(D112-0.5)*LN(D112/(1-D112)))),IF(F25="su",(-(1/2)*(LN((1-E25)/E25))^-1*LN((E27-D27)/(E27-E26))/(D112*(1-D112))-((1-2*E25)*(LN((1-E25)/E25)))^-1*LN(((E27-D27)*(E27-E26))/(E27-F26)^2)*((D112-0.5)/(D112*(1-D112))+LN(D112/(1-D112))))^(-1)*EXP((-LN(E27-F26)-(1/2)*(LN((1-E25)/E25))^-1*LN((E27-D27)/(E27-E26))*LN(D112/(1-D112))-((1-2*E25)*(LN((1-E25)/E25)))^-1*LN(((E27-D27)*(E27-E26))/(E27-F26)^2)*(D112-0.5)*LN(D112/(1-D112)))),IF(F25="b",((1/2)*(LN((1-E25)/E25))^-1*LN(((D27-D26)/(E27-D27))/((E26-D26)/(E27-E26)))/(D112*(1-D112))+((1-2*E25)*(LN((1-E25)/E25)))^-1*LN((((D27-D26)/(E27-D27))*((E26-D26)/(E27-E26)))/((F26-D26)/(E27-F26))^2)*((D112-0.5)/(D112*(1-D112))+LN(D112/(1-D112))))^(-1)*(1+EXP(LN((F26-D26)/(E27-F26))+(1/2)*(LN((1-E25)/E25))^-1*LN(((D27-D26)/(E27-D27))/((E26-D26)/(E27-E26)))*LN(D112/(1-D112))+((1-2*E25)*(LN((1-E25)/E25)))^-1*LN((((D27-D26)/(E27-D27))*((E26-D26)/(E27-E26)))/((F26-D26)/(E27-F26))^2)*(D112-0.5)*LN(D112/(1-D112))))^2/((E27-D26)*EXP(LN((F26-D26)/(E27-F26))+(1/2)*(LN((1-E25)/E25))^-1*LN(((D27-D26)/(E27-D27))/((E26-D26)/(E27-E26)))*LN(D112/(1-D112))+((1-2*E25)*(LN((1-E25)/E25)))^-1*LN((((D27-D26)/(E27-D27))*((E26-D26)/(E27-E26)))/((F26-D26)/(E27-F26))^2)*(D112-0.5)*LN(D112/(1-D112)))),NA())))))</f>
        <v>1.7626729500975217E-2</v>
      </c>
      <c r="H112" s="71">
        <v>76</v>
      </c>
      <c r="I112" s="68">
        <f t="shared" si="7"/>
        <v>86.993495744679464</v>
      </c>
      <c r="J112" s="69">
        <f t="shared" si="8"/>
        <v>102</v>
      </c>
      <c r="K112" s="70">
        <f t="shared" si="9"/>
        <v>1.055905054322584E-3</v>
      </c>
      <c r="M112"/>
    </row>
    <row r="113" spans="4:13" x14ac:dyDescent="0.35">
      <c r="D113" s="49">
        <f>IF(F27&lt;&gt;"",NA(),(ROW()-ROW(D40))/100)</f>
        <v>0.73</v>
      </c>
      <c r="E113" s="50">
        <f>IF(F27&lt;&gt;"",NA(),IF(F25="u",F26+(1/2)*(LN((1-E25)/E25))^-1*(D27-E26)*LN(D113/(1-D113))+((1-2*E25)*(LN((1-E25)/E25)))^-1*(1-2*(F26-E26)/(D27-E26))*(D27-E26)*(D113-0.5)*LN(D113/(1-D113)),IF(F25="sl",D26+EXP(LN(F26-D26)+(1/2)*(LN((1-E25)/E25))^-1*LN((D27-D26)/(E26-D26))*LN(D113/(1-D113))+((1-2*E25)*(LN((1-E25)/E25)))^-1*LN(((D27-D26)*(E26-D26))/(F26-D26)^2)*(D113-0.5)*LN(D113/(1-D113))),IF(F25="su",E27-EXP(-(-LN(E27-F26)-(1/2)*(LN((1-E25)/E25))^-1*LN((E27-D27)/(E27-E26))*LN(D113/(1-D113))-((1-2*E25)*(LN((1-E25)/E25)))^-1*LN(((E27-D27)*(E27-E26))/(E27-F26)^2)*(D113-0.5)*LN(D113/(1-D113)))),IF(F25="b",(D26+E27*EXP(LN((F26-D26)/(E27-F26))+(1/2)*(LN((1-E25)/E25))^-1*LN(((D27-D26)/(E27-D27))/((E26-D26)/(E27-E26)))*LN(D113/(1-D113))+((1-2*E25)*(LN((1-E25)/E25)))^-1*LN((((D27-D26)/(E27-D27))*((E26-D26)/(E27-E26)))/((F26-D26)/(E27-F26))^2)*(D113-0.5)*LN(D113/(1-D113))))/(1+EXP(LN((F26-D26)/(E27-F26))+(1/2)*(LN((1-E25)/E25))^-1*LN(((D27-D26)/(E27-D27))/((E26-D26)/(E27-E26)))*LN(D113/(1-D113))+((1-2*E25)*(LN((1-E25)/E25)))^-1*LN((((D27-D26)/(E27-D27))*((E26-D26)/(E27-E26)))/((F26-D26)/(E27-F26))^2)*(D113-0.5)*LN(D113/(1-D113)))),NA())))))</f>
        <v>45.354877531000284</v>
      </c>
      <c r="F113" s="51">
        <f>IF(F27&lt;&gt;"",NA(),IF(F25="u",((1/2)*(LN((1-E25)/E25))^-1*(D27-E26)/(D113*(1-D113))+((1-2*E25)*(LN((1-E25)/E25)))^-1*(1-2*(F26-E26)/(D27-E26))*(D27-E26)*((D113-0.5)/(D113*(1-D113))+LN(D113/(1-D113))))^(-1),IF(F25="sl",((1/2)*(LN((1-E25)/E25))^-1*LN((D27-D26)/(E26-D26))/(D113*(1-D113))+((1-2*E25)*(LN((1-E25)/E25)))^-1*LN(((D27-D26)*(E26-D26))/(F26-D26)^2)*((D113-0.5)/(D113*(1-D113))+LN(D113/(1-D113))))^(-1)*EXP(-(LN(F26-D26)+(1/2)*(LN((1-E25)/E25))^-1*LN((D27-D26)/(E26-D26))*LN(D113/(1-D113))+((1-2*E25)*(LN((1-E25)/E25)))^-1*LN(((D27-D26)*(E26-D26))/(F26-D26)^2)*(D113-0.5)*LN(D113/(1-D113)))),IF(F25="su",(-(1/2)*(LN((1-E25)/E25))^-1*LN((E27-D27)/(E27-E26))/(D113*(1-D113))-((1-2*E25)*(LN((1-E25)/E25)))^-1*LN(((E27-D27)*(E27-E26))/(E27-F26)^2)*((D113-0.5)/(D113*(1-D113))+LN(D113/(1-D113))))^(-1)*EXP((-LN(E27-F26)-(1/2)*(LN((1-E25)/E25))^-1*LN((E27-D27)/(E27-E26))*LN(D113/(1-D113))-((1-2*E25)*(LN((1-E25)/E25)))^-1*LN(((E27-D27)*(E27-E26))/(E27-F26)^2)*(D113-0.5)*LN(D113/(1-D113)))),IF(F25="b",((1/2)*(LN((1-E25)/E25))^-1*LN(((D27-D26)/(E27-D27))/((E26-D26)/(E27-E26)))/(D113*(1-D113))+((1-2*E25)*(LN((1-E25)/E25)))^-1*LN((((D27-D26)/(E27-D27))*((E26-D26)/(E27-E26)))/((F26-D26)/(E27-F26))^2)*((D113-0.5)/(D113*(1-D113))+LN(D113/(1-D113))))^(-1)*(1+EXP(LN((F26-D26)/(E27-F26))+(1/2)*(LN((1-E25)/E25))^-1*LN(((D27-D26)/(E27-D27))/((E26-D26)/(E27-E26)))*LN(D113/(1-D113))+((1-2*E25)*(LN((1-E25)/E25)))^-1*LN((((D27-D26)/(E27-D27))*((E26-D26)/(E27-E26)))/((F26-D26)/(E27-F26))^2)*(D113-0.5)*LN(D113/(1-D113))))^2/((E27-D26)*EXP(LN((F26-D26)/(E27-F26))+(1/2)*(LN((1-E25)/E25))^-1*LN(((D27-D26)/(E27-D27))/((E26-D26)/(E27-E26)))*LN(D113/(1-D113))+((1-2*E25)*(LN((1-E25)/E25)))^-1*LN((((D27-D26)/(E27-D27))*((E26-D26)/(E27-E26)))/((F26-D26)/(E27-F26))^2)*(D113-0.5)*LN(D113/(1-D113)))),NA())))))</f>
        <v>1.7100272088367653E-2</v>
      </c>
      <c r="H113" s="71">
        <v>77</v>
      </c>
      <c r="I113" s="68">
        <f t="shared" si="7"/>
        <v>88.263556174622551</v>
      </c>
      <c r="J113" s="69">
        <f t="shared" si="8"/>
        <v>102</v>
      </c>
      <c r="K113" s="70">
        <f t="shared" si="9"/>
        <v>9.4006794172996706E-4</v>
      </c>
      <c r="M113"/>
    </row>
    <row r="114" spans="4:13" x14ac:dyDescent="0.35">
      <c r="D114" s="49">
        <f>IF(F27&lt;&gt;"",NA(),(ROW()-ROW(D40))/100)</f>
        <v>0.74</v>
      </c>
      <c r="E114" s="50">
        <f>IF(F27&lt;&gt;"",NA(),IF(F25="u",F26+(1/2)*(LN((1-E25)/E25))^-1*(D27-E26)*LN(D114/(1-D114))+((1-2*E25)*(LN((1-E25)/E25)))^-1*(1-2*(F26-E26)/(D27-E26))*(D27-E26)*(D114-0.5)*LN(D114/(1-D114)),IF(F25="sl",D26+EXP(LN(F26-D26)+(1/2)*(LN((1-E25)/E25))^-1*LN((D27-D26)/(E26-D26))*LN(D114/(1-D114))+((1-2*E25)*(LN((1-E25)/E25)))^-1*LN(((D27-D26)*(E26-D26))/(F26-D26)^2)*(D114-0.5)*LN(D114/(1-D114))),IF(F25="su",E27-EXP(-(-LN(E27-F26)-(1/2)*(LN((1-E25)/E25))^-1*LN((E27-D27)/(E27-E26))*LN(D114/(1-D114))-((1-2*E25)*(LN((1-E25)/E25)))^-1*LN(((E27-D27)*(E27-E26))/(E27-F26)^2)*(D114-0.5)*LN(D114/(1-D114)))),IF(F25="b",(D26+E27*EXP(LN((F26-D26)/(E27-F26))+(1/2)*(LN((1-E25)/E25))^-1*LN(((D27-D26)/(E27-D27))/((E26-D26)/(E27-E26)))*LN(D114/(1-D114))+((1-2*E25)*(LN((1-E25)/E25)))^-1*LN((((D27-D26)/(E27-D27))*((E26-D26)/(E27-E26)))/((F26-D26)/(E27-F26))^2)*(D114-0.5)*LN(D114/(1-D114))))/(1+EXP(LN((F26-D26)/(E27-F26))+(1/2)*(LN((1-E25)/E25))^-1*LN(((D27-D26)/(E27-D27))/((E26-D26)/(E27-E26)))*LN(D114/(1-D114))+((1-2*E25)*(LN((1-E25)/E25)))^-1*LN((((D27-D26)/(E27-D27))*((E26-D26)/(E27-E26)))/((F26-D26)/(E27-F26))^2)*(D114-0.5)*LN(D114/(1-D114)))),NA())))))</f>
        <v>45.948938500573014</v>
      </c>
      <c r="F114" s="51">
        <f>IF(F27&lt;&gt;"",NA(),IF(F25="u",((1/2)*(LN((1-E25)/E25))^-1*(D27-E26)/(D114*(1-D114))+((1-2*E25)*(LN((1-E25)/E25)))^-1*(1-2*(F26-E26)/(D27-E26))*(D27-E26)*((D114-0.5)/(D114*(1-D114))+LN(D114/(1-D114))))^(-1),IF(F25="sl",((1/2)*(LN((1-E25)/E25))^-1*LN((D27-D26)/(E26-D26))/(D114*(1-D114))+((1-2*E25)*(LN((1-E25)/E25)))^-1*LN(((D27-D26)*(E26-D26))/(F26-D26)^2)*((D114-0.5)/(D114*(1-D114))+LN(D114/(1-D114))))^(-1)*EXP(-(LN(F26-D26)+(1/2)*(LN((1-E25)/E25))^-1*LN((D27-D26)/(E26-D26))*LN(D114/(1-D114))+((1-2*E25)*(LN((1-E25)/E25)))^-1*LN(((D27-D26)*(E26-D26))/(F26-D26)^2)*(D114-0.5)*LN(D114/(1-D114)))),IF(F25="su",(-(1/2)*(LN((1-E25)/E25))^-1*LN((E27-D27)/(E27-E26))/(D114*(1-D114))-((1-2*E25)*(LN((1-E25)/E25)))^-1*LN(((E27-D27)*(E27-E26))/(E27-F26)^2)*((D114-0.5)/(D114*(1-D114))+LN(D114/(1-D114))))^(-1)*EXP((-LN(E27-F26)-(1/2)*(LN((1-E25)/E25))^-1*LN((E27-D27)/(E27-E26))*LN(D114/(1-D114))-((1-2*E25)*(LN((1-E25)/E25)))^-1*LN(((E27-D27)*(E27-E26))/(E27-F26)^2)*(D114-0.5)*LN(D114/(1-D114)))),IF(F25="b",((1/2)*(LN((1-E25)/E25))^-1*LN(((D27-D26)/(E27-D27))/((E26-D26)/(E27-E26)))/(D114*(1-D114))+((1-2*E25)*(LN((1-E25)/E25)))^-1*LN((((D27-D26)/(E27-D27))*((E26-D26)/(E27-E26)))/((F26-D26)/(E27-F26))^2)*((D114-0.5)/(D114*(1-D114))+LN(D114/(1-D114))))^(-1)*(1+EXP(LN((F26-D26)/(E27-F26))+(1/2)*(LN((1-E25)/E25))^-1*LN(((D27-D26)/(E27-D27))/((E26-D26)/(E27-E26)))*LN(D114/(1-D114))+((1-2*E25)*(LN((1-E25)/E25)))^-1*LN((((D27-D26)/(E27-D27))*((E26-D26)/(E27-E26)))/((F26-D26)/(E27-F26))^2)*(D114-0.5)*LN(D114/(1-D114))))^2/((E27-D26)*EXP(LN((F26-D26)/(E27-F26))+(1/2)*(LN((1-E25)/E25))^-1*LN(((D27-D26)/(E27-D27))/((E26-D26)/(E27-E26)))*LN(D114/(1-D114))+((1-2*E25)*(LN((1-E25)/E25)))^-1*LN((((D27-D26)/(E27-D27))*((E26-D26)/(E27-E26)))/((F26-D26)/(E27-F26))^2)*(D114-0.5)*LN(D114/(1-D114)))),NA())))))</f>
        <v>1.6568168673228644E-2</v>
      </c>
      <c r="H114" s="71">
        <v>78</v>
      </c>
      <c r="I114" s="68">
        <f t="shared" si="7"/>
        <v>89.533616604565637</v>
      </c>
      <c r="J114" s="69">
        <f t="shared" si="8"/>
        <v>102</v>
      </c>
      <c r="K114" s="70">
        <f t="shared" si="9"/>
        <v>8.2423082913735005E-4</v>
      </c>
      <c r="M114"/>
    </row>
    <row r="115" spans="4:13" x14ac:dyDescent="0.35">
      <c r="D115" s="49">
        <f>IF(F27&lt;&gt;"",NA(),(ROW()-ROW(D40))/100)</f>
        <v>0.75</v>
      </c>
      <c r="E115" s="50">
        <f>IF(F27&lt;&gt;"",NA(),IF(F25="u",F26+(1/2)*(LN((1-E25)/E25))^-1*(D27-E26)*LN(D115/(1-D115))+((1-2*E25)*(LN((1-E25)/E25)))^-1*(1-2*(F26-E26)/(D27-E26))*(D27-E26)*(D115-0.5)*LN(D115/(1-D115)),IF(F25="sl",D26+EXP(LN(F26-D26)+(1/2)*(LN((1-E25)/E25))^-1*LN((D27-D26)/(E26-D26))*LN(D115/(1-D115))+((1-2*E25)*(LN((1-E25)/E25)))^-1*LN(((D27-D26)*(E26-D26))/(F26-D26)^2)*(D115-0.5)*LN(D115/(1-D115))),IF(F25="su",E27-EXP(-(-LN(E27-F26)-(1/2)*(LN((1-E25)/E25))^-1*LN((E27-D27)/(E27-E26))*LN(D115/(1-D115))-((1-2*E25)*(LN((1-E25)/E25)))^-1*LN(((E27-D27)*(E27-E26))/(E27-F26)^2)*(D115-0.5)*LN(D115/(1-D115)))),IF(F25="b",(D26+E27*EXP(LN((F26-D26)/(E27-F26))+(1/2)*(LN((1-E25)/E25))^-1*LN(((D27-D26)/(E27-D27))/((E26-D26)/(E27-E26)))*LN(D115/(1-D115))+((1-2*E25)*(LN((1-E25)/E25)))^-1*LN((((D27-D26)/(E27-D27))*((E26-D26)/(E27-E26)))/((F26-D26)/(E27-F26))^2)*(D115-0.5)*LN(D115/(1-D115))))/(1+EXP(LN((F26-D26)/(E27-F26))+(1/2)*(LN((1-E25)/E25))^-1*LN(((D27-D26)/(E27-D27))/((E26-D26)/(E27-E26)))*LN(D115/(1-D115))+((1-2*E25)*(LN((1-E25)/E25)))^-1*LN((((D27-D26)/(E27-D27))*((E26-D26)/(E27-E26)))/((F26-D26)/(E27-F26))^2)*(D115-0.5)*LN(D115/(1-D115)))),NA())))))</f>
        <v>46.5625</v>
      </c>
      <c r="F115" s="51">
        <f>IF(F27&lt;&gt;"",NA(),IF(F25="u",((1/2)*(LN((1-E25)/E25))^-1*(D27-E26)/(D115*(1-D115))+((1-2*E25)*(LN((1-E25)/E25)))^-1*(1-2*(F26-E26)/(D27-E26))*(D27-E26)*((D115-0.5)/(D115*(1-D115))+LN(D115/(1-D115))))^(-1),IF(F25="sl",((1/2)*(LN((1-E25)/E25))^-1*LN((D27-D26)/(E26-D26))/(D115*(1-D115))+((1-2*E25)*(LN((1-E25)/E25)))^-1*LN(((D27-D26)*(E26-D26))/(F26-D26)^2)*((D115-0.5)/(D115*(1-D115))+LN(D115/(1-D115))))^(-1)*EXP(-(LN(F26-D26)+(1/2)*(LN((1-E25)/E25))^-1*LN((D27-D26)/(E26-D26))*LN(D115/(1-D115))+((1-2*E25)*(LN((1-E25)/E25)))^-1*LN(((D27-D26)*(E26-D26))/(F26-D26)^2)*(D115-0.5)*LN(D115/(1-D115)))),IF(F25="su",(-(1/2)*(LN((1-E25)/E25))^-1*LN((E27-D27)/(E27-E26))/(D115*(1-D115))-((1-2*E25)*(LN((1-E25)/E25)))^-1*LN(((E27-D27)*(E27-E26))/(E27-F26)^2)*((D115-0.5)/(D115*(1-D115))+LN(D115/(1-D115))))^(-1)*EXP((-LN(E27-F26)-(1/2)*(LN((1-E25)/E25))^-1*LN((E27-D27)/(E27-E26))*LN(D115/(1-D115))-((1-2*E25)*(LN((1-E25)/E25)))^-1*LN(((E27-D27)*(E27-E26))/(E27-F26)^2)*(D115-0.5)*LN(D115/(1-D115)))),IF(F25="b",((1/2)*(LN((1-E25)/E25))^-1*LN(((D27-D26)/(E27-D27))/((E26-D26)/(E27-E26)))/(D115*(1-D115))+((1-2*E25)*(LN((1-E25)/E25)))^-1*LN((((D27-D26)/(E27-D27))*((E26-D26)/(E27-E26)))/((F26-D26)/(E27-F26))^2)*((D115-0.5)/(D115*(1-D115))+LN(D115/(1-D115))))^(-1)*(1+EXP(LN((F26-D26)/(E27-F26))+(1/2)*(LN((1-E25)/E25))^-1*LN(((D27-D26)/(E27-D27))/((E26-D26)/(E27-E26)))*LN(D115/(1-D115))+((1-2*E25)*(LN((1-E25)/E25)))^-1*LN((((D27-D26)/(E27-D27))*((E26-D26)/(E27-E26)))/((F26-D26)/(E27-F26))^2)*(D115-0.5)*LN(D115/(1-D115))))^2/((E27-D26)*EXP(LN((F26-D26)/(E27-F26))+(1/2)*(LN((1-E25)/E25))^-1*LN(((D27-D26)/(E27-D27))/((E26-D26)/(E27-E26)))*LN(D115/(1-D115))+((1-2*E25)*(LN((1-E25)/E25)))^-1*LN((((D27-D26)/(E27-D27))*((E26-D26)/(E27-E26)))/((F26-D26)/(E27-F26))^2)*(D115-0.5)*LN(D115/(1-D115)))),NA())))))</f>
        <v>1.6030414447539332E-2</v>
      </c>
      <c r="H115" s="71">
        <v>79</v>
      </c>
      <c r="I115" s="68">
        <f t="shared" si="7"/>
        <v>90.803677034508723</v>
      </c>
      <c r="J115" s="69">
        <f t="shared" si="8"/>
        <v>103</v>
      </c>
      <c r="K115" s="70">
        <f t="shared" si="9"/>
        <v>7.5472422928720263E-4</v>
      </c>
      <c r="M115"/>
    </row>
    <row r="116" spans="4:13" x14ac:dyDescent="0.35">
      <c r="D116" s="49">
        <f>IF(F27&lt;&gt;"",NA(),(ROW()-ROW(D40))/100)</f>
        <v>0.76</v>
      </c>
      <c r="E116" s="50">
        <f>IF(F27&lt;&gt;"",NA(),IF(F25="u",F26+(1/2)*(LN((1-E25)/E25))^-1*(D27-E26)*LN(D116/(1-D116))+((1-2*E25)*(LN((1-E25)/E25)))^-1*(1-2*(F26-E26)/(D27-E26))*(D27-E26)*(D116-0.5)*LN(D116/(1-D116)),IF(F25="sl",D26+EXP(LN(F26-D26)+(1/2)*(LN((1-E25)/E25))^-1*LN((D27-D26)/(E26-D26))*LN(D116/(1-D116))+((1-2*E25)*(LN((1-E25)/E25)))^-1*LN(((D27-D26)*(E26-D26))/(F26-D26)^2)*(D116-0.5)*LN(D116/(1-D116))),IF(F25="su",E27-EXP(-(-LN(E27-F26)-(1/2)*(LN((1-E25)/E25))^-1*LN((E27-D27)/(E27-E26))*LN(D116/(1-D116))-((1-2*E25)*(LN((1-E25)/E25)))^-1*LN(((E27-D27)*(E27-E26))/(E27-F26)^2)*(D116-0.5)*LN(D116/(1-D116)))),IF(F25="b",(D26+E27*EXP(LN((F26-D26)/(E27-F26))+(1/2)*(LN((1-E25)/E25))^-1*LN(((D27-D26)/(E27-D27))/((E26-D26)/(E27-E26)))*LN(D116/(1-D116))+((1-2*E25)*(LN((1-E25)/E25)))^-1*LN((((D27-D26)/(E27-D27))*((E26-D26)/(E27-E26)))/((F26-D26)/(E27-F26))^2)*(D116-0.5)*LN(D116/(1-D116))))/(1+EXP(LN((F26-D26)/(E27-F26))+(1/2)*(LN((1-E25)/E25))^-1*LN(((D27-D26)/(E27-D27))/((E26-D26)/(E27-E26)))*LN(D116/(1-D116))+((1-2*E25)*(LN((1-E25)/E25)))^-1*LN((((D27-D26)/(E27-D27))*((E26-D26)/(E27-E26)))/((F26-D26)/(E27-F26))^2)*(D116-0.5)*LN(D116/(1-D116)))),NA())))))</f>
        <v>47.197113978470917</v>
      </c>
      <c r="F116" s="51">
        <f>IF(F27&lt;&gt;"",NA(),IF(F25="u",((1/2)*(LN((1-E25)/E25))^-1*(D27-E26)/(D116*(1-D116))+((1-2*E25)*(LN((1-E25)/E25)))^-1*(1-2*(F26-E26)/(D27-E26))*(D27-E26)*((D116-0.5)/(D116*(1-D116))+LN(D116/(1-D116))))^(-1),IF(F25="sl",((1/2)*(LN((1-E25)/E25))^-1*LN((D27-D26)/(E26-D26))/(D116*(1-D116))+((1-2*E25)*(LN((1-E25)/E25)))^-1*LN(((D27-D26)*(E26-D26))/(F26-D26)^2)*((D116-0.5)/(D116*(1-D116))+LN(D116/(1-D116))))^(-1)*EXP(-(LN(F26-D26)+(1/2)*(LN((1-E25)/E25))^-1*LN((D27-D26)/(E26-D26))*LN(D116/(1-D116))+((1-2*E25)*(LN((1-E25)/E25)))^-1*LN(((D27-D26)*(E26-D26))/(F26-D26)^2)*(D116-0.5)*LN(D116/(1-D116)))),IF(F25="su",(-(1/2)*(LN((1-E25)/E25))^-1*LN((E27-D27)/(E27-E26))/(D116*(1-D116))-((1-2*E25)*(LN((1-E25)/E25)))^-1*LN(((E27-D27)*(E27-E26))/(E27-F26)^2)*((D116-0.5)/(D116*(1-D116))+LN(D116/(1-D116))))^(-1)*EXP((-LN(E27-F26)-(1/2)*(LN((1-E25)/E25))^-1*LN((E27-D27)/(E27-E26))*LN(D116/(1-D116))-((1-2*E25)*(LN((1-E25)/E25)))^-1*LN(((E27-D27)*(E27-E26))/(E27-F26)^2)*(D116-0.5)*LN(D116/(1-D116)))),IF(F25="b",((1/2)*(LN((1-E25)/E25))^-1*LN(((D27-D26)/(E27-D27))/((E26-D26)/(E27-E26)))/(D116*(1-D116))+((1-2*E25)*(LN((1-E25)/E25)))^-1*LN((((D27-D26)/(E27-D27))*((E26-D26)/(E27-E26)))/((F26-D26)/(E27-F26))^2)*((D116-0.5)/(D116*(1-D116))+LN(D116/(1-D116))))^(-1)*(1+EXP(LN((F26-D26)/(E27-F26))+(1/2)*(LN((1-E25)/E25))^-1*LN(((D27-D26)/(E27-D27))/((E26-D26)/(E27-E26)))*LN(D116/(1-D116))+((1-2*E25)*(LN((1-E25)/E25)))^-1*LN((((D27-D26)/(E27-D27))*((E26-D26)/(E27-E26)))/((F26-D26)/(E27-F26))^2)*(D116-0.5)*LN(D116/(1-D116))))^2/((E27-D26)*EXP(LN((F26-D26)/(E27-F26))+(1/2)*(LN((1-E25)/E25))^-1*LN(((D27-D26)/(E27-D27))/((E26-D26)/(E27-E26)))*LN(D116/(1-D116))+((1-2*E25)*(LN((1-E25)/E25)))^-1*LN((((D27-D26)/(E27-D27))*((E26-D26)/(E27-E26)))/((F26-D26)/(E27-F26))^2)*(D116-0.5)*LN(D116/(1-D116)))),NA())))))</f>
        <v>1.5486980077585427E-2</v>
      </c>
      <c r="H116" s="71">
        <v>80</v>
      </c>
      <c r="I116" s="68">
        <f t="shared" si="7"/>
        <v>92.07373746445181</v>
      </c>
      <c r="J116" s="69">
        <f t="shared" si="8"/>
        <v>103</v>
      </c>
      <c r="K116" s="70">
        <f t="shared" si="9"/>
        <v>6.8927884886968698E-4</v>
      </c>
      <c r="M116"/>
    </row>
    <row r="117" spans="4:13" x14ac:dyDescent="0.35">
      <c r="D117" s="49">
        <f>IF(F27&lt;&gt;"",NA(),(ROW()-ROW(D40))/100)</f>
        <v>0.77</v>
      </c>
      <c r="E117" s="50">
        <f>IF(F27&lt;&gt;"",NA(),IF(F25="u",F26+(1/2)*(LN((1-E25)/E25))^-1*(D27-E26)*LN(D117/(1-D117))+((1-2*E25)*(LN((1-E25)/E25)))^-1*(1-2*(F26-E26)/(D27-E26))*(D27-E26)*(D117-0.5)*LN(D117/(1-D117)),IF(F25="sl",D26+EXP(LN(F26-D26)+(1/2)*(LN((1-E25)/E25))^-1*LN((D27-D26)/(E26-D26))*LN(D117/(1-D117))+((1-2*E25)*(LN((1-E25)/E25)))^-1*LN(((D27-D26)*(E26-D26))/(F26-D26)^2)*(D117-0.5)*LN(D117/(1-D117))),IF(F25="su",E27-EXP(-(-LN(E27-F26)-(1/2)*(LN((1-E25)/E25))^-1*LN((E27-D27)/(E27-E26))*LN(D117/(1-D117))-((1-2*E25)*(LN((1-E25)/E25)))^-1*LN(((E27-D27)*(E27-E26))/(E27-F26)^2)*(D117-0.5)*LN(D117/(1-D117)))),IF(F25="b",(D26+E27*EXP(LN((F26-D26)/(E27-F26))+(1/2)*(LN((1-E25)/E25))^-1*LN(((D27-D26)/(E27-D27))/((E26-D26)/(E27-E26)))*LN(D117/(1-D117))+((1-2*E25)*(LN((1-E25)/E25)))^-1*LN((((D27-D26)/(E27-D27))*((E26-D26)/(E27-E26)))/((F26-D26)/(E27-F26))^2)*(D117-0.5)*LN(D117/(1-D117))))/(1+EXP(LN((F26-D26)/(E27-F26))+(1/2)*(LN((1-E25)/E25))^-1*LN(((D27-D26)/(E27-D27))/((E26-D26)/(E27-E26)))*LN(D117/(1-D117))+((1-2*E25)*(LN((1-E25)/E25)))^-1*LN((((D27-D26)/(E27-D27))*((E26-D26)/(E27-E26)))/((F26-D26)/(E27-F26))^2)*(D117-0.5)*LN(D117/(1-D117)))),NA())))))</f>
        <v>47.854523260761816</v>
      </c>
      <c r="F117" s="51">
        <f>IF(F27&lt;&gt;"",NA(),IF(F25="u",((1/2)*(LN((1-E25)/E25))^-1*(D27-E26)/(D117*(1-D117))+((1-2*E25)*(LN((1-E25)/E25)))^-1*(1-2*(F26-E26)/(D27-E26))*(D27-E26)*((D117-0.5)/(D117*(1-D117))+LN(D117/(1-D117))))^(-1),IF(F25="sl",((1/2)*(LN((1-E25)/E25))^-1*LN((D27-D26)/(E26-D26))/(D117*(1-D117))+((1-2*E25)*(LN((1-E25)/E25)))^-1*LN(((D27-D26)*(E26-D26))/(F26-D26)^2)*((D117-0.5)/(D117*(1-D117))+LN(D117/(1-D117))))^(-1)*EXP(-(LN(F26-D26)+(1/2)*(LN((1-E25)/E25))^-1*LN((D27-D26)/(E26-D26))*LN(D117/(1-D117))+((1-2*E25)*(LN((1-E25)/E25)))^-1*LN(((D27-D26)*(E26-D26))/(F26-D26)^2)*(D117-0.5)*LN(D117/(1-D117)))),IF(F25="su",(-(1/2)*(LN((1-E25)/E25))^-1*LN((E27-D27)/(E27-E26))/(D117*(1-D117))-((1-2*E25)*(LN((1-E25)/E25)))^-1*LN(((E27-D27)*(E27-E26))/(E27-F26)^2)*((D117-0.5)/(D117*(1-D117))+LN(D117/(1-D117))))^(-1)*EXP((-LN(E27-F26)-(1/2)*(LN((1-E25)/E25))^-1*LN((E27-D27)/(E27-E26))*LN(D117/(1-D117))-((1-2*E25)*(LN((1-E25)/E25)))^-1*LN(((E27-D27)*(E27-E26))/(E27-F26)^2)*(D117-0.5)*LN(D117/(1-D117)))),IF(F25="b",((1/2)*(LN((1-E25)/E25))^-1*LN(((D27-D26)/(E27-D27))/((E26-D26)/(E27-E26)))/(D117*(1-D117))+((1-2*E25)*(LN((1-E25)/E25)))^-1*LN((((D27-D26)/(E27-D27))*((E26-D26)/(E27-E26)))/((F26-D26)/(E27-F26))^2)*((D117-0.5)/(D117*(1-D117))+LN(D117/(1-D117))))^(-1)*(1+EXP(LN((F26-D26)/(E27-F26))+(1/2)*(LN((1-E25)/E25))^-1*LN(((D27-D26)/(E27-D27))/((E26-D26)/(E27-E26)))*LN(D117/(1-D117))+((1-2*E25)*(LN((1-E25)/E25)))^-1*LN((((D27-D26)/(E27-D27))*((E26-D26)/(E27-E26)))/((F26-D26)/(E27-F26))^2)*(D117-0.5)*LN(D117/(1-D117))))^2/((E27-D26)*EXP(LN((F26-D26)/(E27-F26))+(1/2)*(LN((1-E25)/E25))^-1*LN(((D27-D26)/(E27-D27))/((E26-D26)/(E27-E26)))*LN(D117/(1-D117))+((1-2*E25)*(LN((1-E25)/E25)))^-1*LN((((D27-D26)/(E27-D27))*((E26-D26)/(E27-E26)))/((F26-D26)/(E27-F26))^2)*(D117-0.5)*LN(D117/(1-D117)))),NA())))))</f>
        <v>1.4937811223770626E-2</v>
      </c>
      <c r="H117" s="71">
        <v>81</v>
      </c>
      <c r="I117" s="68">
        <f t="shared" si="7"/>
        <v>93.343797894394896</v>
      </c>
      <c r="J117" s="69">
        <f t="shared" si="8"/>
        <v>103</v>
      </c>
      <c r="K117" s="70">
        <f t="shared" si="9"/>
        <v>6.2383346845217144E-4</v>
      </c>
      <c r="M117"/>
    </row>
    <row r="118" spans="4:13" x14ac:dyDescent="0.35">
      <c r="D118" s="49">
        <f>IF(F27&lt;&gt;"",NA(),(ROW()-ROW(D40))/100)</f>
        <v>0.78</v>
      </c>
      <c r="E118" s="50">
        <f>IF(F27&lt;&gt;"",NA(),IF(F25="u",F26+(1/2)*(LN((1-E25)/E25))^-1*(D27-E26)*LN(D118/(1-D118))+((1-2*E25)*(LN((1-E25)/E25)))^-1*(1-2*(F26-E26)/(D27-E26))*(D27-E26)*(D118-0.5)*LN(D118/(1-D118)),IF(F25="sl",D26+EXP(LN(F26-D26)+(1/2)*(LN((1-E25)/E25))^-1*LN((D27-D26)/(E26-D26))*LN(D118/(1-D118))+((1-2*E25)*(LN((1-E25)/E25)))^-1*LN(((D27-D26)*(E26-D26))/(F26-D26)^2)*(D118-0.5)*LN(D118/(1-D118))),IF(F25="su",E27-EXP(-(-LN(E27-F26)-(1/2)*(LN((1-E25)/E25))^-1*LN((E27-D27)/(E27-E26))*LN(D118/(1-D118))-((1-2*E25)*(LN((1-E25)/E25)))^-1*LN(((E27-D27)*(E27-E26))/(E27-F26)^2)*(D118-0.5)*LN(D118/(1-D118)))),IF(F25="b",(D26+E27*EXP(LN((F26-D26)/(E27-F26))+(1/2)*(LN((1-E25)/E25))^-1*LN(((D27-D26)/(E27-D27))/((E26-D26)/(E27-E26)))*LN(D118/(1-D118))+((1-2*E25)*(LN((1-E25)/E25)))^-1*LN((((D27-D26)/(E27-D27))*((E26-D26)/(E27-E26)))/((F26-D26)/(E27-F26))^2)*(D118-0.5)*LN(D118/(1-D118))))/(1+EXP(LN((F26-D26)/(E27-F26))+(1/2)*(LN((1-E25)/E25))^-1*LN(((D27-D26)/(E27-D27))/((E26-D26)/(E27-E26)))*LN(D118/(1-D118))+((1-2*E25)*(LN((1-E25)/E25)))^-1*LN((((D27-D26)/(E27-D27))*((E26-D26)/(E27-E26)))/((F26-D26)/(E27-F26))^2)*(D118-0.5)*LN(D118/(1-D118)))),NA())))))</f>
        <v>48.536695374736695</v>
      </c>
      <c r="F118" s="51">
        <f>IF(F27&lt;&gt;"",NA(),IF(F25="u",((1/2)*(LN((1-E25)/E25))^-1*(D27-E26)/(D118*(1-D118))+((1-2*E25)*(LN((1-E25)/E25)))^-1*(1-2*(F26-E26)/(D27-E26))*(D27-E26)*((D118-0.5)/(D118*(1-D118))+LN(D118/(1-D118))))^(-1),IF(F25="sl",((1/2)*(LN((1-E25)/E25))^-1*LN((D27-D26)/(E26-D26))/(D118*(1-D118))+((1-2*E25)*(LN((1-E25)/E25)))^-1*LN(((D27-D26)*(E26-D26))/(F26-D26)^2)*((D118-0.5)/(D118*(1-D118))+LN(D118/(1-D118))))^(-1)*EXP(-(LN(F26-D26)+(1/2)*(LN((1-E25)/E25))^-1*LN((D27-D26)/(E26-D26))*LN(D118/(1-D118))+((1-2*E25)*(LN((1-E25)/E25)))^-1*LN(((D27-D26)*(E26-D26))/(F26-D26)^2)*(D118-0.5)*LN(D118/(1-D118)))),IF(F25="su",(-(1/2)*(LN((1-E25)/E25))^-1*LN((E27-D27)/(E27-E26))/(D118*(1-D118))-((1-2*E25)*(LN((1-E25)/E25)))^-1*LN(((E27-D27)*(E27-E26))/(E27-F26)^2)*((D118-0.5)/(D118*(1-D118))+LN(D118/(1-D118))))^(-1)*EXP((-LN(E27-F26)-(1/2)*(LN((1-E25)/E25))^-1*LN((E27-D27)/(E27-E26))*LN(D118/(1-D118))-((1-2*E25)*(LN((1-E25)/E25)))^-1*LN(((E27-D27)*(E27-E26))/(E27-F26)^2)*(D118-0.5)*LN(D118/(1-D118)))),IF(F25="b",((1/2)*(LN((1-E25)/E25))^-1*LN(((D27-D26)/(E27-D27))/((E26-D26)/(E27-E26)))/(D118*(1-D118))+((1-2*E25)*(LN((1-E25)/E25)))^-1*LN((((D27-D26)/(E27-D27))*((E26-D26)/(E27-E26)))/((F26-D26)/(E27-F26))^2)*((D118-0.5)/(D118*(1-D118))+LN(D118/(1-D118))))^(-1)*(1+EXP(LN((F26-D26)/(E27-F26))+(1/2)*(LN((1-E25)/E25))^-1*LN(((D27-D26)/(E27-D27))/((E26-D26)/(E27-E26)))*LN(D118/(1-D118))+((1-2*E25)*(LN((1-E25)/E25)))^-1*LN((((D27-D26)/(E27-D27))*((E26-D26)/(E27-E26)))/((F26-D26)/(E27-F26))^2)*(D118-0.5)*LN(D118/(1-D118))))^2/((E27-D26)*EXP(LN((F26-D26)/(E27-F26))+(1/2)*(LN((1-E25)/E25))^-1*LN(((D27-D26)/(E27-D27))/((E26-D26)/(E27-E26)))*LN(D118/(1-D118))+((1-2*E25)*(LN((1-E25)/E25)))^-1*LN((((D27-D26)/(E27-D27))*((E26-D26)/(E27-E26)))/((F26-D26)/(E27-F26))^2)*(D118-0.5)*LN(D118/(1-D118)))),NA())))))</f>
        <v>1.4382827847822695E-2</v>
      </c>
      <c r="H118" s="71">
        <v>82</v>
      </c>
      <c r="I118" s="68">
        <f t="shared" si="7"/>
        <v>94.613858324337983</v>
      </c>
      <c r="J118" s="69">
        <f t="shared" si="8"/>
        <v>103</v>
      </c>
      <c r="K118" s="70">
        <f t="shared" si="9"/>
        <v>5.5838808803465589E-4</v>
      </c>
      <c r="M118"/>
    </row>
    <row r="119" spans="4:13" x14ac:dyDescent="0.35">
      <c r="D119" s="49">
        <f>IF(F27&lt;&gt;"",NA(),(ROW()-ROW(D40))/100)</f>
        <v>0.79</v>
      </c>
      <c r="E119" s="50">
        <f>IF(F27&lt;&gt;"",NA(),IF(F25="u",F26+(1/2)*(LN((1-E25)/E25))^-1*(D27-E26)*LN(D119/(1-D119))+((1-2*E25)*(LN((1-E25)/E25)))^-1*(1-2*(F26-E26)/(D27-E26))*(D27-E26)*(D119-0.5)*LN(D119/(1-D119)),IF(F25="sl",D26+EXP(LN(F26-D26)+(1/2)*(LN((1-E25)/E25))^-1*LN((D27-D26)/(E26-D26))*LN(D119/(1-D119))+((1-2*E25)*(LN((1-E25)/E25)))^-1*LN(((D27-D26)*(E26-D26))/(F26-D26)^2)*(D119-0.5)*LN(D119/(1-D119))),IF(F25="su",E27-EXP(-(-LN(E27-F26)-(1/2)*(LN((1-E25)/E25))^-1*LN((E27-D27)/(E27-E26))*LN(D119/(1-D119))-((1-2*E25)*(LN((1-E25)/E25)))^-1*LN(((E27-D27)*(E27-E26))/(E27-F26)^2)*(D119-0.5)*LN(D119/(1-D119)))),IF(F25="b",(D26+E27*EXP(LN((F26-D26)/(E27-F26))+(1/2)*(LN((1-E25)/E25))^-1*LN(((D27-D26)/(E27-D27))/((E26-D26)/(E27-E26)))*LN(D119/(1-D119))+((1-2*E25)*(LN((1-E25)/E25)))^-1*LN((((D27-D26)/(E27-D27))*((E26-D26)/(E27-E26)))/((F26-D26)/(E27-F26))^2)*(D119-0.5)*LN(D119/(1-D119))))/(1+EXP(LN((F26-D26)/(E27-F26))+(1/2)*(LN((1-E25)/E25))^-1*LN(((D27-D26)/(E27-D27))/((E26-D26)/(E27-E26)))*LN(D119/(1-D119))+((1-2*E25)*(LN((1-E25)/E25)))^-1*LN((((D27-D26)/(E27-D27))*((E26-D26)/(E27-E26)))/((F26-D26)/(E27-F26))^2)*(D119-0.5)*LN(D119/(1-D119)))),NA())))))</f>
        <v>49.245864189843253</v>
      </c>
      <c r="F119" s="51">
        <f>IF(F27&lt;&gt;"",NA(),IF(F25="u",((1/2)*(LN((1-E25)/E25))^-1*(D27-E26)/(D119*(1-D119))+((1-2*E25)*(LN((1-E25)/E25)))^-1*(1-2*(F26-E26)/(D27-E26))*(D27-E26)*((D119-0.5)/(D119*(1-D119))+LN(D119/(1-D119))))^(-1),IF(F25="sl",((1/2)*(LN((1-E25)/E25))^-1*LN((D27-D26)/(E26-D26))/(D119*(1-D119))+((1-2*E25)*(LN((1-E25)/E25)))^-1*LN(((D27-D26)*(E26-D26))/(F26-D26)^2)*((D119-0.5)/(D119*(1-D119))+LN(D119/(1-D119))))^(-1)*EXP(-(LN(F26-D26)+(1/2)*(LN((1-E25)/E25))^-1*LN((D27-D26)/(E26-D26))*LN(D119/(1-D119))+((1-2*E25)*(LN((1-E25)/E25)))^-1*LN(((D27-D26)*(E26-D26))/(F26-D26)^2)*(D119-0.5)*LN(D119/(1-D119)))),IF(F25="su",(-(1/2)*(LN((1-E25)/E25))^-1*LN((E27-D27)/(E27-E26))/(D119*(1-D119))-((1-2*E25)*(LN((1-E25)/E25)))^-1*LN(((E27-D27)*(E27-E26))/(E27-F26)^2)*((D119-0.5)/(D119*(1-D119))+LN(D119/(1-D119))))^(-1)*EXP((-LN(E27-F26)-(1/2)*(LN((1-E25)/E25))^-1*LN((E27-D27)/(E27-E26))*LN(D119/(1-D119))-((1-2*E25)*(LN((1-E25)/E25)))^-1*LN(((E27-D27)*(E27-E26))/(E27-F26)^2)*(D119-0.5)*LN(D119/(1-D119)))),IF(F25="b",((1/2)*(LN((1-E25)/E25))^-1*LN(((D27-D26)/(E27-D27))/((E26-D26)/(E27-E26)))/(D119*(1-D119))+((1-2*E25)*(LN((1-E25)/E25)))^-1*LN((((D27-D26)/(E27-D27))*((E26-D26)/(E27-E26)))/((F26-D26)/(E27-F26))^2)*((D119-0.5)/(D119*(1-D119))+LN(D119/(1-D119))))^(-1)*(1+EXP(LN((F26-D26)/(E27-F26))+(1/2)*(LN((1-E25)/E25))^-1*LN(((D27-D26)/(E27-D27))/((E26-D26)/(E27-E26)))*LN(D119/(1-D119))+((1-2*E25)*(LN((1-E25)/E25)))^-1*LN((((D27-D26)/(E27-D27))*((E26-D26)/(E27-E26)))/((F26-D26)/(E27-F26))^2)*(D119-0.5)*LN(D119/(1-D119))))^2/((E27-D26)*EXP(LN((F26-D26)/(E27-F26))+(1/2)*(LN((1-E25)/E25))^-1*LN(((D27-D26)/(E27-D27))/((E26-D26)/(E27-E26)))*LN(D119/(1-D119))+((1-2*E25)*(LN((1-E25)/E25)))^-1*LN((((D27-D26)/(E27-D27))*((E26-D26)/(E27-E26)))/((F26-D26)/(E27-F26))^2)*(D119-0.5)*LN(D119/(1-D119)))),NA())))))</f>
        <v>1.3821923279457093E-2</v>
      </c>
      <c r="H119" s="71">
        <v>83</v>
      </c>
      <c r="I119" s="68">
        <f t="shared" si="7"/>
        <v>95.883918754281069</v>
      </c>
      <c r="J119" s="69">
        <f t="shared" si="8"/>
        <v>104</v>
      </c>
      <c r="K119" s="70">
        <f t="shared" si="9"/>
        <v>4.9316633514593711E-4</v>
      </c>
      <c r="M119"/>
    </row>
    <row r="120" spans="4:13" x14ac:dyDescent="0.35">
      <c r="D120" s="49">
        <f>IF(F27&lt;&gt;"",NA(),(ROW()-ROW(D40))/100)</f>
        <v>0.8</v>
      </c>
      <c r="E120" s="50">
        <f>IF(F27&lt;&gt;"",NA(),IF(F25="u",F26+(1/2)*(LN((1-E25)/E25))^-1*(D27-E26)*LN(D120/(1-D120))+((1-2*E25)*(LN((1-E25)/E25)))^-1*(1-2*(F26-E26)/(D27-E26))*(D27-E26)*(D120-0.5)*LN(D120/(1-D120)),IF(F25="sl",D26+EXP(LN(F26-D26)+(1/2)*(LN((1-E25)/E25))^-1*LN((D27-D26)/(E26-D26))*LN(D120/(1-D120))+((1-2*E25)*(LN((1-E25)/E25)))^-1*LN(((D27-D26)*(E26-D26))/(F26-D26)^2)*(D120-0.5)*LN(D120/(1-D120))),IF(F25="su",E27-EXP(-(-LN(E27-F26)-(1/2)*(LN((1-E25)/E25))^-1*LN((E27-D27)/(E27-E26))*LN(D120/(1-D120))-((1-2*E25)*(LN((1-E25)/E25)))^-1*LN(((E27-D27)*(E27-E26))/(E27-F26)^2)*(D120-0.5)*LN(D120/(1-D120)))),IF(F25="b",(D26+E27*EXP(LN((F26-D26)/(E27-F26))+(1/2)*(LN((1-E25)/E25))^-1*LN(((D27-D26)/(E27-D27))/((E26-D26)/(E27-E26)))*LN(D120/(1-D120))+((1-2*E25)*(LN((1-E25)/E25)))^-1*LN((((D27-D26)/(E27-D27))*((E26-D26)/(E27-E26)))/((F26-D26)/(E27-F26))^2)*(D120-0.5)*LN(D120/(1-D120))))/(1+EXP(LN((F26-D26)/(E27-F26))+(1/2)*(LN((1-E25)/E25))^-1*LN(((D27-D26)/(E27-D27))/((E26-D26)/(E27-E26)))*LN(D120/(1-D120))+((1-2*E25)*(LN((1-E25)/E25)))^-1*LN((((D27-D26)/(E27-D27))*((E26-D26)/(E27-E26)))/((F26-D26)/(E27-F26))^2)*(D120-0.5)*LN(D120/(1-D120)))),NA())))))</f>
        <v>49.984581647322116</v>
      </c>
      <c r="F120" s="51">
        <f>IF(F27&lt;&gt;"",NA(),IF(F25="u",((1/2)*(LN((1-E25)/E25))^-1*(D27-E26)/(D120*(1-D120))+((1-2*E25)*(LN((1-E25)/E25)))^-1*(1-2*(F26-E26)/(D27-E26))*(D27-E26)*((D120-0.5)/(D120*(1-D120))+LN(D120/(1-D120))))^(-1),IF(F25="sl",((1/2)*(LN((1-E25)/E25))^-1*LN((D27-D26)/(E26-D26))/(D120*(1-D120))+((1-2*E25)*(LN((1-E25)/E25)))^-1*LN(((D27-D26)*(E26-D26))/(F26-D26)^2)*((D120-0.5)/(D120*(1-D120))+LN(D120/(1-D120))))^(-1)*EXP(-(LN(F26-D26)+(1/2)*(LN((1-E25)/E25))^-1*LN((D27-D26)/(E26-D26))*LN(D120/(1-D120))+((1-2*E25)*(LN((1-E25)/E25)))^-1*LN(((D27-D26)*(E26-D26))/(F26-D26)^2)*(D120-0.5)*LN(D120/(1-D120)))),IF(F25="su",(-(1/2)*(LN((1-E25)/E25))^-1*LN((E27-D27)/(E27-E26))/(D120*(1-D120))-((1-2*E25)*(LN((1-E25)/E25)))^-1*LN(((E27-D27)*(E27-E26))/(E27-F26)^2)*((D120-0.5)/(D120*(1-D120))+LN(D120/(1-D120))))^(-1)*EXP((-LN(E27-F26)-(1/2)*(LN((1-E25)/E25))^-1*LN((E27-D27)/(E27-E26))*LN(D120/(1-D120))-((1-2*E25)*(LN((1-E25)/E25)))^-1*LN(((E27-D27)*(E27-E26))/(E27-F26)^2)*(D120-0.5)*LN(D120/(1-D120)))),IF(F25="b",((1/2)*(LN((1-E25)/E25))^-1*LN(((D27-D26)/(E27-D27))/((E26-D26)/(E27-E26)))/(D120*(1-D120))+((1-2*E25)*(LN((1-E25)/E25)))^-1*LN((((D27-D26)/(E27-D27))*((E26-D26)/(E27-E26)))/((F26-D26)/(E27-F26))^2)*((D120-0.5)/(D120*(1-D120))+LN(D120/(1-D120))))^(-1)*(1+EXP(LN((F26-D26)/(E27-F26))+(1/2)*(LN((1-E25)/E25))^-1*LN(((D27-D26)/(E27-D27))/((E26-D26)/(E27-E26)))*LN(D120/(1-D120))+((1-2*E25)*(LN((1-E25)/E25)))^-1*LN((((D27-D26)/(E27-D27))*((E26-D26)/(E27-E26)))/((F26-D26)/(E27-F26))^2)*(D120-0.5)*LN(D120/(1-D120))))^2/((E27-D26)*EXP(LN((F26-D26)/(E27-F26))+(1/2)*(LN((1-E25)/E25))^-1*LN(((D27-D26)/(E27-D27))/((E26-D26)/(E27-E26)))*LN(D120/(1-D120))+((1-2*E25)*(LN((1-E25)/E25)))^-1*LN((((D27-D26)/(E27-D27))*((E26-D26)/(E27-E26)))/((F26-D26)/(E27-F26))^2)*(D120-0.5)*LN(D120/(1-D120)))),NA())))))</f>
        <v>1.3254963007400842E-2</v>
      </c>
      <c r="H120" s="71">
        <v>84</v>
      </c>
      <c r="I120" s="68">
        <f t="shared" si="7"/>
        <v>97.153979184224156</v>
      </c>
      <c r="J120" s="69">
        <f t="shared" si="8"/>
        <v>104</v>
      </c>
      <c r="K120" s="70">
        <f t="shared" si="9"/>
        <v>4.5611895886098832E-4</v>
      </c>
      <c r="M120"/>
    </row>
    <row r="121" spans="4:13" x14ac:dyDescent="0.35">
      <c r="D121" s="49">
        <f>IF(F27&lt;&gt;"",NA(),(ROW()-ROW(D40))/100)</f>
        <v>0.81</v>
      </c>
      <c r="E121" s="50">
        <f>IF(F27&lt;&gt;"",NA(),IF(F25="u",F26+(1/2)*(LN((1-E25)/E25))^-1*(D27-E26)*LN(D121/(1-D121))+((1-2*E25)*(LN((1-E25)/E25)))^-1*(1-2*(F26-E26)/(D27-E26))*(D27-E26)*(D121-0.5)*LN(D121/(1-D121)),IF(F25="sl",D26+EXP(LN(F26-D26)+(1/2)*(LN((1-E25)/E25))^-1*LN((D27-D26)/(E26-D26))*LN(D121/(1-D121))+((1-2*E25)*(LN((1-E25)/E25)))^-1*LN(((D27-D26)*(E26-D26))/(F26-D26)^2)*(D121-0.5)*LN(D121/(1-D121))),IF(F25="su",E27-EXP(-(-LN(E27-F26)-(1/2)*(LN((1-E25)/E25))^-1*LN((E27-D27)/(E27-E26))*LN(D121/(1-D121))-((1-2*E25)*(LN((1-E25)/E25)))^-1*LN(((E27-D27)*(E27-E26))/(E27-F26)^2)*(D121-0.5)*LN(D121/(1-D121)))),IF(F25="b",(D26+E27*EXP(LN((F26-D26)/(E27-F26))+(1/2)*(LN((1-E25)/E25))^-1*LN(((D27-D26)/(E27-D27))/((E26-D26)/(E27-E26)))*LN(D121/(1-D121))+((1-2*E25)*(LN((1-E25)/E25)))^-1*LN((((D27-D26)/(E27-D27))*((E26-D26)/(E27-E26)))/((F26-D26)/(E27-F26))^2)*(D121-0.5)*LN(D121/(1-D121))))/(1+EXP(LN((F26-D26)/(E27-F26))+(1/2)*(LN((1-E25)/E25))^-1*LN(((D27-D26)/(E27-D27))/((E26-D26)/(E27-E26)))*LN(D121/(1-D121))+((1-2*E25)*(LN((1-E25)/E25)))^-1*LN((((D27-D26)/(E27-D27))*((E26-D26)/(E27-E26)))/((F26-D26)/(E27-F26))^2)*(D121-0.5)*LN(D121/(1-D121)))),NA())))))</f>
        <v>50.755782680246398</v>
      </c>
      <c r="F121" s="51">
        <f>IF(F27&lt;&gt;"",NA(),IF(F25="u",((1/2)*(LN((1-E25)/E25))^-1*(D27-E26)/(D121*(1-D121))+((1-2*E25)*(LN((1-E25)/E25)))^-1*(1-2*(F26-E26)/(D27-E26))*(D27-E26)*((D121-0.5)/(D121*(1-D121))+LN(D121/(1-D121))))^(-1),IF(F25="sl",((1/2)*(LN((1-E25)/E25))^-1*LN((D27-D26)/(E26-D26))/(D121*(1-D121))+((1-2*E25)*(LN((1-E25)/E25)))^-1*LN(((D27-D26)*(E26-D26))/(F26-D26)^2)*((D121-0.5)/(D121*(1-D121))+LN(D121/(1-D121))))^(-1)*EXP(-(LN(F26-D26)+(1/2)*(LN((1-E25)/E25))^-1*LN((D27-D26)/(E26-D26))*LN(D121/(1-D121))+((1-2*E25)*(LN((1-E25)/E25)))^-1*LN(((D27-D26)*(E26-D26))/(F26-D26)^2)*(D121-0.5)*LN(D121/(1-D121)))),IF(F25="su",(-(1/2)*(LN((1-E25)/E25))^-1*LN((E27-D27)/(E27-E26))/(D121*(1-D121))-((1-2*E25)*(LN((1-E25)/E25)))^-1*LN(((E27-D27)*(E27-E26))/(E27-F26)^2)*((D121-0.5)/(D121*(1-D121))+LN(D121/(1-D121))))^(-1)*EXP((-LN(E27-F26)-(1/2)*(LN((1-E25)/E25))^-1*LN((E27-D27)/(E27-E26))*LN(D121/(1-D121))-((1-2*E25)*(LN((1-E25)/E25)))^-1*LN(((E27-D27)*(E27-E26))/(E27-F26)^2)*(D121-0.5)*LN(D121/(1-D121)))),IF(F25="b",((1/2)*(LN((1-E25)/E25))^-1*LN(((D27-D26)/(E27-D27))/((E26-D26)/(E27-E26)))/(D121*(1-D121))+((1-2*E25)*(LN((1-E25)/E25)))^-1*LN((((D27-D26)/(E27-D27))*((E26-D26)/(E27-E26)))/((F26-D26)/(E27-F26))^2)*((D121-0.5)/(D121*(1-D121))+LN(D121/(1-D121))))^(-1)*(1+EXP(LN((F26-D26)/(E27-F26))+(1/2)*(LN((1-E25)/E25))^-1*LN(((D27-D26)/(E27-D27))/((E26-D26)/(E27-E26)))*LN(D121/(1-D121))+((1-2*E25)*(LN((1-E25)/E25)))^-1*LN((((D27-D26)/(E27-D27))*((E26-D26)/(E27-E26)))/((F26-D26)/(E27-F26))^2)*(D121-0.5)*LN(D121/(1-D121))))^2/((E27-D26)*EXP(LN((F26-D26)/(E27-F26))+(1/2)*(LN((1-E25)/E25))^-1*LN(((D27-D26)/(E27-D27))/((E26-D26)/(E27-E26)))*LN(D121/(1-D121))+((1-2*E25)*(LN((1-E25)/E25)))^-1*LN((((D27-D26)/(E27-D27))*((E26-D26)/(E27-E26)))/((F26-D26)/(E27-F26))^2)*(D121-0.5)*LN(D121/(1-D121)))),NA())))))</f>
        <v>1.2681783150478781E-2</v>
      </c>
      <c r="H121" s="71">
        <v>85</v>
      </c>
      <c r="I121" s="68">
        <f t="shared" si="7"/>
        <v>98.424039614167242</v>
      </c>
      <c r="J121" s="69">
        <f t="shared" si="8"/>
        <v>104</v>
      </c>
      <c r="K121" s="70">
        <f t="shared" si="9"/>
        <v>4.1907158257603957E-4</v>
      </c>
      <c r="M121"/>
    </row>
    <row r="122" spans="4:13" x14ac:dyDescent="0.35">
      <c r="D122" s="49">
        <f>IF(F27&lt;&gt;"",NA(),(ROW()-ROW(D40))/100)</f>
        <v>0.82</v>
      </c>
      <c r="E122" s="50">
        <f>IF(F27&lt;&gt;"",NA(),IF(F25="u",F26+(1/2)*(LN((1-E25)/E25))^-1*(D27-E26)*LN(D122/(1-D122))+((1-2*E25)*(LN((1-E25)/E25)))^-1*(1-2*(F26-E26)/(D27-E26))*(D27-E26)*(D122-0.5)*LN(D122/(1-D122)),IF(F25="sl",D26+EXP(LN(F26-D26)+(1/2)*(LN((1-E25)/E25))^-1*LN((D27-D26)/(E26-D26))*LN(D122/(1-D122))+((1-2*E25)*(LN((1-E25)/E25)))^-1*LN(((D27-D26)*(E26-D26))/(F26-D26)^2)*(D122-0.5)*LN(D122/(1-D122))),IF(F25="su",E27-EXP(-(-LN(E27-F26)-(1/2)*(LN((1-E25)/E25))^-1*LN((E27-D27)/(E27-E26))*LN(D122/(1-D122))-((1-2*E25)*(LN((1-E25)/E25)))^-1*LN(((E27-D27)*(E27-E26))/(E27-F26)^2)*(D122-0.5)*LN(D122/(1-D122)))),IF(F25="b",(D26+E27*EXP(LN((F26-D26)/(E27-F26))+(1/2)*(LN((1-E25)/E25))^-1*LN(((D27-D26)/(E27-D27))/((E26-D26)/(E27-E26)))*LN(D122/(1-D122))+((1-2*E25)*(LN((1-E25)/E25)))^-1*LN((((D27-D26)/(E27-D27))*((E26-D26)/(E27-E26)))/((F26-D26)/(E27-F26))^2)*(D122-0.5)*LN(D122/(1-D122))))/(1+EXP(LN((F26-D26)/(E27-F26))+(1/2)*(LN((1-E25)/E25))^-1*LN(((D27-D26)/(E27-D27))/((E26-D26)/(E27-E26)))*LN(D122/(1-D122))+((1-2*E25)*(LN((1-E25)/E25)))^-1*LN((((D27-D26)/(E27-D27))*((E26-D26)/(E27-E26)))/((F26-D26)/(E27-F26))^2)*(D122-0.5)*LN(D122/(1-D122)))),NA())))))</f>
        <v>51.562867592239463</v>
      </c>
      <c r="F122" s="51">
        <f>IF(F27&lt;&gt;"",NA(),IF(F25="u",((1/2)*(LN((1-E25)/E25))^-1*(D27-E26)/(D122*(1-D122))+((1-2*E25)*(LN((1-E25)/E25)))^-1*(1-2*(F26-E26)/(D27-E26))*(D27-E26)*((D122-0.5)/(D122*(1-D122))+LN(D122/(1-D122))))^(-1),IF(F25="sl",((1/2)*(LN((1-E25)/E25))^-1*LN((D27-D26)/(E26-D26))/(D122*(1-D122))+((1-2*E25)*(LN((1-E25)/E25)))^-1*LN(((D27-D26)*(E26-D26))/(F26-D26)^2)*((D122-0.5)/(D122*(1-D122))+LN(D122/(1-D122))))^(-1)*EXP(-(LN(F26-D26)+(1/2)*(LN((1-E25)/E25))^-1*LN((D27-D26)/(E26-D26))*LN(D122/(1-D122))+((1-2*E25)*(LN((1-E25)/E25)))^-1*LN(((D27-D26)*(E26-D26))/(F26-D26)^2)*(D122-0.5)*LN(D122/(1-D122)))),IF(F25="su",(-(1/2)*(LN((1-E25)/E25))^-1*LN((E27-D27)/(E27-E26))/(D122*(1-D122))-((1-2*E25)*(LN((1-E25)/E25)))^-1*LN(((E27-D27)*(E27-E26))/(E27-F26)^2)*((D122-0.5)/(D122*(1-D122))+LN(D122/(1-D122))))^(-1)*EXP((-LN(E27-F26)-(1/2)*(LN((1-E25)/E25))^-1*LN((E27-D27)/(E27-E26))*LN(D122/(1-D122))-((1-2*E25)*(LN((1-E25)/E25)))^-1*LN(((E27-D27)*(E27-E26))/(E27-F26)^2)*(D122-0.5)*LN(D122/(1-D122)))),IF(F25="b",((1/2)*(LN((1-E25)/E25))^-1*LN(((D27-D26)/(E27-D27))/((E26-D26)/(E27-E26)))/(D122*(1-D122))+((1-2*E25)*(LN((1-E25)/E25)))^-1*LN((((D27-D26)/(E27-D27))*((E26-D26)/(E27-E26)))/((F26-D26)/(E27-F26))^2)*((D122-0.5)/(D122*(1-D122))+LN(D122/(1-D122))))^(-1)*(1+EXP(LN((F26-D26)/(E27-F26))+(1/2)*(LN((1-E25)/E25))^-1*LN(((D27-D26)/(E27-D27))/((E26-D26)/(E27-E26)))*LN(D122/(1-D122))+((1-2*E25)*(LN((1-E25)/E25)))^-1*LN((((D27-D26)/(E27-D27))*((E26-D26)/(E27-E26)))/((F26-D26)/(E27-F26))^2)*(D122-0.5)*LN(D122/(1-D122))))^2/((E27-D26)*EXP(LN((F26-D26)/(E27-F26))+(1/2)*(LN((1-E25)/E25))^-1*LN(((D27-D26)/(E27-D27))/((E26-D26)/(E27-E26)))*LN(D122/(1-D122))+((1-2*E25)*(LN((1-E25)/E25)))^-1*LN((((D27-D26)/(E27-D27))*((E26-D26)/(E27-E26)))/((F26-D26)/(E27-F26))^2)*(D122-0.5)*LN(D122/(1-D122)))),NA())))))</f>
        <v>1.210218855250726E-2</v>
      </c>
      <c r="H122" s="71">
        <v>86</v>
      </c>
      <c r="I122" s="68">
        <f t="shared" si="7"/>
        <v>99.694100044110328</v>
      </c>
      <c r="J122" s="69">
        <f t="shared" si="8"/>
        <v>104</v>
      </c>
      <c r="K122" s="70">
        <f t="shared" si="9"/>
        <v>3.8202420629109083E-4</v>
      </c>
      <c r="M122"/>
    </row>
    <row r="123" spans="4:13" x14ac:dyDescent="0.35">
      <c r="D123" s="49">
        <f>IF(F27&lt;&gt;"",NA(),(ROW()-ROW(D40))/100)</f>
        <v>0.83</v>
      </c>
      <c r="E123" s="50">
        <f>IF(F27&lt;&gt;"",NA(),IF(F25="u",F26+(1/2)*(LN((1-E25)/E25))^-1*(D27-E26)*LN(D123/(1-D123))+((1-2*E25)*(LN((1-E25)/E25)))^-1*(1-2*(F26-E26)/(D27-E26))*(D27-E26)*(D123-0.5)*LN(D123/(1-D123)),IF(F25="sl",D26+EXP(LN(F26-D26)+(1/2)*(LN((1-E25)/E25))^-1*LN((D27-D26)/(E26-D26))*LN(D123/(1-D123))+((1-2*E25)*(LN((1-E25)/E25)))^-1*LN(((D27-D26)*(E26-D26))/(F26-D26)^2)*(D123-0.5)*LN(D123/(1-D123))),IF(F25="su",E27-EXP(-(-LN(E27-F26)-(1/2)*(LN((1-E25)/E25))^-1*LN((E27-D27)/(E27-E26))*LN(D123/(1-D123))-((1-2*E25)*(LN((1-E25)/E25)))^-1*LN(((E27-D27)*(E27-E26))/(E27-F26)^2)*(D123-0.5)*LN(D123/(1-D123)))),IF(F25="b",(D26+E27*EXP(LN((F26-D26)/(E27-F26))+(1/2)*(LN((1-E25)/E25))^-1*LN(((D27-D26)/(E27-D27))/((E26-D26)/(E27-E26)))*LN(D123/(1-D123))+((1-2*E25)*(LN((1-E25)/E25)))^-1*LN((((D27-D26)/(E27-D27))*((E26-D26)/(E27-E26)))/((F26-D26)/(E27-F26))^2)*(D123-0.5)*LN(D123/(1-D123))))/(1+EXP(LN((F26-D26)/(E27-F26))+(1/2)*(LN((1-E25)/E25))^-1*LN(((D27-D26)/(E27-D27))/((E26-D26)/(E27-E26)))*LN(D123/(1-D123))+((1-2*E25)*(LN((1-E25)/E25)))^-1*LN((((D27-D26)/(E27-D27))*((E26-D26)/(E27-E26)))/((F26-D26)/(E27-F26))^2)*(D123-0.5)*LN(D123/(1-D123)))),NA())))))</f>
        <v>52.409807869577271</v>
      </c>
      <c r="F123" s="51">
        <f>IF(F27&lt;&gt;"",NA(),IF(F25="u",((1/2)*(LN((1-E25)/E25))^-1*(D27-E26)/(D123*(1-D123))+((1-2*E25)*(LN((1-E25)/E25)))^-1*(1-2*(F26-E26)/(D27-E26))*(D27-E26)*((D123-0.5)/(D123*(1-D123))+LN(D123/(1-D123))))^(-1),IF(F25="sl",((1/2)*(LN((1-E25)/E25))^-1*LN((D27-D26)/(E26-D26))/(D123*(1-D123))+((1-2*E25)*(LN((1-E25)/E25)))^-1*LN(((D27-D26)*(E26-D26))/(F26-D26)^2)*((D123-0.5)/(D123*(1-D123))+LN(D123/(1-D123))))^(-1)*EXP(-(LN(F26-D26)+(1/2)*(LN((1-E25)/E25))^-1*LN((D27-D26)/(E26-D26))*LN(D123/(1-D123))+((1-2*E25)*(LN((1-E25)/E25)))^-1*LN(((D27-D26)*(E26-D26))/(F26-D26)^2)*(D123-0.5)*LN(D123/(1-D123)))),IF(F25="su",(-(1/2)*(LN((1-E25)/E25))^-1*LN((E27-D27)/(E27-E26))/(D123*(1-D123))-((1-2*E25)*(LN((1-E25)/E25)))^-1*LN(((E27-D27)*(E27-E26))/(E27-F26)^2)*((D123-0.5)/(D123*(1-D123))+LN(D123/(1-D123))))^(-1)*EXP((-LN(E27-F26)-(1/2)*(LN((1-E25)/E25))^-1*LN((E27-D27)/(E27-E26))*LN(D123/(1-D123))-((1-2*E25)*(LN((1-E25)/E25)))^-1*LN(((E27-D27)*(E27-E26))/(E27-F26)^2)*(D123-0.5)*LN(D123/(1-D123)))),IF(F25="b",((1/2)*(LN((1-E25)/E25))^-1*LN(((D27-D26)/(E27-D27))/((E26-D26)/(E27-E26)))/(D123*(1-D123))+((1-2*E25)*(LN((1-E25)/E25)))^-1*LN((((D27-D26)/(E27-D27))*((E26-D26)/(E27-E26)))/((F26-D26)/(E27-F26))^2)*((D123-0.5)/(D123*(1-D123))+LN(D123/(1-D123))))^(-1)*(1+EXP(LN((F26-D26)/(E27-F26))+(1/2)*(LN((1-E25)/E25))^-1*LN(((D27-D26)/(E27-D27))/((E26-D26)/(E27-E26)))*LN(D123/(1-D123))+((1-2*E25)*(LN((1-E25)/E25)))^-1*LN((((D27-D26)/(E27-D27))*((E26-D26)/(E27-E26)))/((F26-D26)/(E27-F26))^2)*(D123-0.5)*LN(D123/(1-D123))))^2/((E27-D26)*EXP(LN((F26-D26)/(E27-F26))+(1/2)*(LN((1-E25)/E25))^-1*LN(((D27-D26)/(E27-D27))/((E26-D26)/(E27-E26)))*LN(D123/(1-D123))+((1-2*E25)*(LN((1-E25)/E25)))^-1*LN((((D27-D26)/(E27-D27))*((E26-D26)/(E27-E26)))/((F26-D26)/(E27-F26))^2)*(D123-0.5)*LN(D123/(1-D123)))),NA())))))</f>
        <v>1.151595042900075E-2</v>
      </c>
      <c r="H123" s="71">
        <v>87</v>
      </c>
      <c r="I123" s="68">
        <f t="shared" si="7"/>
        <v>100.96416047405341</v>
      </c>
      <c r="J123" s="69">
        <f t="shared" si="8"/>
        <v>104</v>
      </c>
      <c r="K123" s="70">
        <f t="shared" si="9"/>
        <v>3.4497683000614203E-4</v>
      </c>
      <c r="M123"/>
    </row>
    <row r="124" spans="4:13" x14ac:dyDescent="0.35">
      <c r="D124" s="49">
        <f>IF(F27&lt;&gt;"",NA(),(ROW()-ROW(D40))/100)</f>
        <v>0.84</v>
      </c>
      <c r="E124" s="50">
        <f>IF(F27&lt;&gt;"",NA(),IF(F25="u",F26+(1/2)*(LN((1-E25)/E25))^-1*(D27-E26)*LN(D124/(1-D124))+((1-2*E25)*(LN((1-E25)/E25)))^-1*(1-2*(F26-E26)/(D27-E26))*(D27-E26)*(D124-0.5)*LN(D124/(1-D124)),IF(F25="sl",D26+EXP(LN(F26-D26)+(1/2)*(LN((1-E25)/E25))^-1*LN((D27-D26)/(E26-D26))*LN(D124/(1-D124))+((1-2*E25)*(LN((1-E25)/E25)))^-1*LN(((D27-D26)*(E26-D26))/(F26-D26)^2)*(D124-0.5)*LN(D124/(1-D124))),IF(F25="su",E27-EXP(-(-LN(E27-F26)-(1/2)*(LN((1-E25)/E25))^-1*LN((E27-D27)/(E27-E26))*LN(D124/(1-D124))-((1-2*E25)*(LN((1-E25)/E25)))^-1*LN(((E27-D27)*(E27-E26))/(E27-F26)^2)*(D124-0.5)*LN(D124/(1-D124)))),IF(F25="b",(D26+E27*EXP(LN((F26-D26)/(E27-F26))+(1/2)*(LN((1-E25)/E25))^-1*LN(((D27-D26)/(E27-D27))/((E26-D26)/(E27-E26)))*LN(D124/(1-D124))+((1-2*E25)*(LN((1-E25)/E25)))^-1*LN((((D27-D26)/(E27-D27))*((E26-D26)/(E27-E26)))/((F26-D26)/(E27-F26))^2)*(D124-0.5)*LN(D124/(1-D124))))/(1+EXP(LN((F26-D26)/(E27-F26))+(1/2)*(LN((1-E25)/E25))^-1*LN(((D27-D26)/(E27-D27))/((E26-D26)/(E27-E26)))*LN(D124/(1-D124))+((1-2*E25)*(LN((1-E25)/E25)))^-1*LN((((D27-D26)/(E27-D27))*((E26-D26)/(E27-E26)))/((F26-D26)/(E27-F26))^2)*(D124-0.5)*LN(D124/(1-D124)))),NA())))))</f>
        <v>53.301283934474398</v>
      </c>
      <c r="F124" s="51">
        <f>IF(F27&lt;&gt;"",NA(),IF(F25="u",((1/2)*(LN((1-E25)/E25))^-1*(D27-E26)/(D124*(1-D124))+((1-2*E25)*(LN((1-E25)/E25)))^-1*(1-2*(F26-E26)/(D27-E26))*(D27-E26)*((D124-0.5)/(D124*(1-D124))+LN(D124/(1-D124))))^(-1),IF(F25="sl",((1/2)*(LN((1-E25)/E25))^-1*LN((D27-D26)/(E26-D26))/(D124*(1-D124))+((1-2*E25)*(LN((1-E25)/E25)))^-1*LN(((D27-D26)*(E26-D26))/(F26-D26)^2)*((D124-0.5)/(D124*(1-D124))+LN(D124/(1-D124))))^(-1)*EXP(-(LN(F26-D26)+(1/2)*(LN((1-E25)/E25))^-1*LN((D27-D26)/(E26-D26))*LN(D124/(1-D124))+((1-2*E25)*(LN((1-E25)/E25)))^-1*LN(((D27-D26)*(E26-D26))/(F26-D26)^2)*(D124-0.5)*LN(D124/(1-D124)))),IF(F25="su",(-(1/2)*(LN((1-E25)/E25))^-1*LN((E27-D27)/(E27-E26))/(D124*(1-D124))-((1-2*E25)*(LN((1-E25)/E25)))^-1*LN(((E27-D27)*(E27-E26))/(E27-F26)^2)*((D124-0.5)/(D124*(1-D124))+LN(D124/(1-D124))))^(-1)*EXP((-LN(E27-F26)-(1/2)*(LN((1-E25)/E25))^-1*LN((E27-D27)/(E27-E26))*LN(D124/(1-D124))-((1-2*E25)*(LN((1-E25)/E25)))^-1*LN(((E27-D27)*(E27-E26))/(E27-F26)^2)*(D124-0.5)*LN(D124/(1-D124)))),IF(F25="b",((1/2)*(LN((1-E25)/E25))^-1*LN(((D27-D26)/(E27-D27))/((E26-D26)/(E27-E26)))/(D124*(1-D124))+((1-2*E25)*(LN((1-E25)/E25)))^-1*LN((((D27-D26)/(E27-D27))*((E26-D26)/(E27-E26)))/((F26-D26)/(E27-F26))^2)*((D124-0.5)/(D124*(1-D124))+LN(D124/(1-D124))))^(-1)*(1+EXP(LN((F26-D26)/(E27-F26))+(1/2)*(LN((1-E25)/E25))^-1*LN(((D27-D26)/(E27-D27))/((E26-D26)/(E27-E26)))*LN(D124/(1-D124))+((1-2*E25)*(LN((1-E25)/E25)))^-1*LN((((D27-D26)/(E27-D27))*((E26-D26)/(E27-E26)))/((F26-D26)/(E27-F26))^2)*(D124-0.5)*LN(D124/(1-D124))))^2/((E27-D26)*EXP(LN((F26-D26)/(E27-F26))+(1/2)*(LN((1-E25)/E25))^-1*LN(((D27-D26)/(E27-D27))/((E26-D26)/(E27-E26)))*LN(D124/(1-D124))+((1-2*E25)*(LN((1-E25)/E25)))^-1*LN((((D27-D26)/(E27-D27))*((E26-D26)/(E27-E26)))/((F26-D26)/(E27-F26))^2)*(D124-0.5)*LN(D124/(1-D124)))),NA())))))</f>
        <v>1.0922803472687969E-2</v>
      </c>
      <c r="H124" s="71">
        <v>88</v>
      </c>
      <c r="I124" s="68">
        <f t="shared" si="7"/>
        <v>102.2342209039965</v>
      </c>
      <c r="J124" s="69">
        <f t="shared" si="8"/>
        <v>104</v>
      </c>
      <c r="K124" s="70">
        <f t="shared" si="9"/>
        <v>3.0792945372119329E-4</v>
      </c>
      <c r="M124"/>
    </row>
    <row r="125" spans="4:13" x14ac:dyDescent="0.35">
      <c r="D125" s="49">
        <f>IF(F27&lt;&gt;"",NA(),(ROW()-ROW(D40))/100)</f>
        <v>0.85</v>
      </c>
      <c r="E125" s="50">
        <f>IF(F27&lt;&gt;"",NA(),IF(F25="u",F26+(1/2)*(LN((1-E25)/E25))^-1*(D27-E26)*LN(D125/(1-D125))+((1-2*E25)*(LN((1-E25)/E25)))^-1*(1-2*(F26-E26)/(D27-E26))*(D27-E26)*(D125-0.5)*LN(D125/(1-D125)),IF(F25="sl",D26+EXP(LN(F26-D26)+(1/2)*(LN((1-E25)/E25))^-1*LN((D27-D26)/(E26-D26))*LN(D125/(1-D125))+((1-2*E25)*(LN((1-E25)/E25)))^-1*LN(((D27-D26)*(E26-D26))/(F26-D26)^2)*(D125-0.5)*LN(D125/(1-D125))),IF(F25="su",E27-EXP(-(-LN(E27-F26)-(1/2)*(LN((1-E25)/E25))^-1*LN((E27-D27)/(E27-E26))*LN(D125/(1-D125))-((1-2*E25)*(LN((1-E25)/E25)))^-1*LN(((E27-D27)*(E27-E26))/(E27-F26)^2)*(D125-0.5)*LN(D125/(1-D125)))),IF(F25="b",(D26+E27*EXP(LN((F26-D26)/(E27-F26))+(1/2)*(LN((1-E25)/E25))^-1*LN(((D27-D26)/(E27-D27))/((E26-D26)/(E27-E26)))*LN(D125/(1-D125))+((1-2*E25)*(LN((1-E25)/E25)))^-1*LN((((D27-D26)/(E27-D27))*((E26-D26)/(E27-E26)))/((F26-D26)/(E27-F26))^2)*(D125-0.5)*LN(D125/(1-D125))))/(1+EXP(LN((F26-D26)/(E27-F26))+(1/2)*(LN((1-E25)/E25))^-1*LN(((D27-D26)/(E27-D27))/((E26-D26)/(E27-E26)))*LN(D125/(1-D125))+((1-2*E25)*(LN((1-E25)/E25)))^-1*LN((((D27-D26)/(E27-D27))*((E26-D26)/(E27-E26)))/((F26-D26)/(E27-F26))^2)*(D125-0.5)*LN(D125/(1-D125)))),NA())))))</f>
        <v>54.242867188543769</v>
      </c>
      <c r="F125" s="51">
        <f>IF(F27&lt;&gt;"",NA(),IF(F25="u",((1/2)*(LN((1-E25)/E25))^-1*(D27-E26)/(D125*(1-D125))+((1-2*E25)*(LN((1-E25)/E25)))^-1*(1-2*(F26-E26)/(D27-E26))*(D27-E26)*((D125-0.5)/(D125*(1-D125))+LN(D125/(1-D125))))^(-1),IF(F25="sl",((1/2)*(LN((1-E25)/E25))^-1*LN((D27-D26)/(E26-D26))/(D125*(1-D125))+((1-2*E25)*(LN((1-E25)/E25)))^-1*LN(((D27-D26)*(E26-D26))/(F26-D26)^2)*((D125-0.5)/(D125*(1-D125))+LN(D125/(1-D125))))^(-1)*EXP(-(LN(F26-D26)+(1/2)*(LN((1-E25)/E25))^-1*LN((D27-D26)/(E26-D26))*LN(D125/(1-D125))+((1-2*E25)*(LN((1-E25)/E25)))^-1*LN(((D27-D26)*(E26-D26))/(F26-D26)^2)*(D125-0.5)*LN(D125/(1-D125)))),IF(F25="su",(-(1/2)*(LN((1-E25)/E25))^-1*LN((E27-D27)/(E27-E26))/(D125*(1-D125))-((1-2*E25)*(LN((1-E25)/E25)))^-1*LN(((E27-D27)*(E27-E26))/(E27-F26)^2)*((D125-0.5)/(D125*(1-D125))+LN(D125/(1-D125))))^(-1)*EXP((-LN(E27-F26)-(1/2)*(LN((1-E25)/E25))^-1*LN((E27-D27)/(E27-E26))*LN(D125/(1-D125))-((1-2*E25)*(LN((1-E25)/E25)))^-1*LN(((E27-D27)*(E27-E26))/(E27-F26)^2)*(D125-0.5)*LN(D125/(1-D125)))),IF(F25="b",((1/2)*(LN((1-E25)/E25))^-1*LN(((D27-D26)/(E27-D27))/((E26-D26)/(E27-E26)))/(D125*(1-D125))+((1-2*E25)*(LN((1-E25)/E25)))^-1*LN((((D27-D26)/(E27-D27))*((E26-D26)/(E27-E26)))/((F26-D26)/(E27-F26))^2)*((D125-0.5)/(D125*(1-D125))+LN(D125/(1-D125))))^(-1)*(1+EXP(LN((F26-D26)/(E27-F26))+(1/2)*(LN((1-E25)/E25))^-1*LN(((D27-D26)/(E27-D27))/((E26-D26)/(E27-E26)))*LN(D125/(1-D125))+((1-2*E25)*(LN((1-E25)/E25)))^-1*LN((((D27-D26)/(E27-D27))*((E26-D26)/(E27-E26)))/((F26-D26)/(E27-F26))^2)*(D125-0.5)*LN(D125/(1-D125))))^2/((E27-D26)*EXP(LN((F26-D26)/(E27-F26))+(1/2)*(LN((1-E25)/E25))^-1*LN(((D27-D26)/(E27-D27))/((E26-D26)/(E27-E26)))*LN(D125/(1-D125))+((1-2*E25)*(LN((1-E25)/E25)))^-1*LN((((D27-D26)/(E27-D27))*((E26-D26)/(E27-E26)))/((F26-D26)/(E27-F26))^2)*(D125-0.5)*LN(D125/(1-D125)))),NA())))))</f>
        <v>1.0322442296356642E-2</v>
      </c>
      <c r="H125" s="71">
        <v>89</v>
      </c>
      <c r="I125" s="68">
        <f t="shared" si="7"/>
        <v>103.50428133393959</v>
      </c>
      <c r="J125" s="69">
        <f t="shared" si="8"/>
        <v>104</v>
      </c>
      <c r="K125" s="70">
        <f t="shared" si="9"/>
        <v>2.7088207743624455E-4</v>
      </c>
      <c r="M125"/>
    </row>
    <row r="126" spans="4:13" x14ac:dyDescent="0.35">
      <c r="D126" s="49">
        <f>IF(F27&lt;&gt;"",NA(),(ROW()-ROW(D40))/100)</f>
        <v>0.86</v>
      </c>
      <c r="E126" s="50">
        <f>IF(F27&lt;&gt;"",NA(),IF(F25="u",F26+(1/2)*(LN((1-E25)/E25))^-1*(D27-E26)*LN(D126/(1-D126))+((1-2*E25)*(LN((1-E25)/E25)))^-1*(1-2*(F26-E26)/(D27-E26))*(D27-E26)*(D126-0.5)*LN(D126/(1-D126)),IF(F25="sl",D26+EXP(LN(F26-D26)+(1/2)*(LN((1-E25)/E25))^-1*LN((D27-D26)/(E26-D26))*LN(D126/(1-D126))+((1-2*E25)*(LN((1-E25)/E25)))^-1*LN(((D27-D26)*(E26-D26))/(F26-D26)^2)*(D126-0.5)*LN(D126/(1-D126))),IF(F25="su",E27-EXP(-(-LN(E27-F26)-(1/2)*(LN((1-E25)/E25))^-1*LN((E27-D27)/(E27-E26))*LN(D126/(1-D126))-((1-2*E25)*(LN((1-E25)/E25)))^-1*LN(((E27-D27)*(E27-E26))/(E27-F26)^2)*(D126-0.5)*LN(D126/(1-D126)))),IF(F25="b",(D26+E27*EXP(LN((F26-D26)/(E27-F26))+(1/2)*(LN((1-E25)/E25))^-1*LN(((D27-D26)/(E27-D27))/((E26-D26)/(E27-E26)))*LN(D126/(1-D126))+((1-2*E25)*(LN((1-E25)/E25)))^-1*LN((((D27-D26)/(E27-D27))*((E26-D26)/(E27-E26)))/((F26-D26)/(E27-F26))^2)*(D126-0.5)*LN(D126/(1-D126))))/(1+EXP(LN((F26-D26)/(E27-F26))+(1/2)*(LN((1-E25)/E25))^-1*LN(((D27-D26)/(E27-D27))/((E26-D26)/(E27-E26)))*LN(D126/(1-D126))+((1-2*E25)*(LN((1-E25)/E25)))^-1*LN((((D27-D26)/(E27-D27))*((E26-D26)/(E27-E26)))/((F26-D26)/(E27-F26))^2)*(D126-0.5)*LN(D126/(1-D126)))),NA())))))</f>
        <v>55.241264657869145</v>
      </c>
      <c r="F126" s="51">
        <f>IF(F27&lt;&gt;"",NA(),IF(F25="u",((1/2)*(LN((1-E25)/E25))^-1*(D27-E26)/(D126*(1-D126))+((1-2*E25)*(LN((1-E25)/E25)))^-1*(1-2*(F26-E26)/(D27-E26))*(D27-E26)*((D126-0.5)/(D126*(1-D126))+LN(D126/(1-D126))))^(-1),IF(F25="sl",((1/2)*(LN((1-E25)/E25))^-1*LN((D27-D26)/(E26-D26))/(D126*(1-D126))+((1-2*E25)*(LN((1-E25)/E25)))^-1*LN(((D27-D26)*(E26-D26))/(F26-D26)^2)*((D126-0.5)/(D126*(1-D126))+LN(D126/(1-D126))))^(-1)*EXP(-(LN(F26-D26)+(1/2)*(LN((1-E25)/E25))^-1*LN((D27-D26)/(E26-D26))*LN(D126/(1-D126))+((1-2*E25)*(LN((1-E25)/E25)))^-1*LN(((D27-D26)*(E26-D26))/(F26-D26)^2)*(D126-0.5)*LN(D126/(1-D126)))),IF(F25="su",(-(1/2)*(LN((1-E25)/E25))^-1*LN((E27-D27)/(E27-E26))/(D126*(1-D126))-((1-2*E25)*(LN((1-E25)/E25)))^-1*LN(((E27-D27)*(E27-E26))/(E27-F26)^2)*((D126-0.5)/(D126*(1-D126))+LN(D126/(1-D126))))^(-1)*EXP((-LN(E27-F26)-(1/2)*(LN((1-E25)/E25))^-1*LN((E27-D27)/(E27-E26))*LN(D126/(1-D126))-((1-2*E25)*(LN((1-E25)/E25)))^-1*LN(((E27-D27)*(E27-E26))/(E27-F26)^2)*(D126-0.5)*LN(D126/(1-D126)))),IF(F25="b",((1/2)*(LN((1-E25)/E25))^-1*LN(((D27-D26)/(E27-D27))/((E26-D26)/(E27-E26)))/(D126*(1-D126))+((1-2*E25)*(LN((1-E25)/E25)))^-1*LN((((D27-D26)/(E27-D27))*((E26-D26)/(E27-E26)))/((F26-D26)/(E27-F26))^2)*((D126-0.5)/(D126*(1-D126))+LN(D126/(1-D126))))^(-1)*(1+EXP(LN((F26-D26)/(E27-F26))+(1/2)*(LN((1-E25)/E25))^-1*LN(((D27-D26)/(E27-D27))/((E26-D26)/(E27-E26)))*LN(D126/(1-D126))+((1-2*E25)*(LN((1-E25)/E25)))^-1*LN((((D27-D26)/(E27-D27))*((E26-D26)/(E27-E26)))/((F26-D26)/(E27-F26))^2)*(D126-0.5)*LN(D126/(1-D126))))^2/((E27-D26)*EXP(LN((F26-D26)/(E27-F26))+(1/2)*(LN((1-E25)/E25))^-1*LN(((D27-D26)/(E27-D27))/((E26-D26)/(E27-E26)))*LN(D126/(1-D126))+((1-2*E25)*(LN((1-E25)/E25)))^-1*LN((((D27-D26)/(E27-D27))*((E26-D26)/(E27-E26)))/((F26-D26)/(E27-F26))^2)*(D126-0.5)*LN(D126/(1-D126)))),NA())))))</f>
        <v>9.714517052284849E-3</v>
      </c>
      <c r="H126" s="71">
        <v>90</v>
      </c>
      <c r="I126" s="68">
        <f t="shared" si="7"/>
        <v>104.77434176388267</v>
      </c>
      <c r="J126" s="69">
        <f t="shared" si="8"/>
        <v>105</v>
      </c>
      <c r="K126" s="70">
        <f t="shared" si="9"/>
        <v>2.4229902234957742E-4</v>
      </c>
      <c r="M126"/>
    </row>
    <row r="127" spans="4:13" x14ac:dyDescent="0.35">
      <c r="D127" s="49">
        <f>IF(F27&lt;&gt;"",NA(),(ROW()-ROW(D40))/100)</f>
        <v>0.87</v>
      </c>
      <c r="E127" s="50">
        <f>IF(F27&lt;&gt;"",NA(),IF(F25="u",F26+(1/2)*(LN((1-E25)/E25))^-1*(D27-E26)*LN(D127/(1-D127))+((1-2*E25)*(LN((1-E25)/E25)))^-1*(1-2*(F26-E26)/(D27-E26))*(D27-E26)*(D127-0.5)*LN(D127/(1-D127)),IF(F25="sl",D26+EXP(LN(F26-D26)+(1/2)*(LN((1-E25)/E25))^-1*LN((D27-D26)/(E26-D26))*LN(D127/(1-D127))+((1-2*E25)*(LN((1-E25)/E25)))^-1*LN(((D27-D26)*(E26-D26))/(F26-D26)^2)*(D127-0.5)*LN(D127/(1-D127))),IF(F25="su",E27-EXP(-(-LN(E27-F26)-(1/2)*(LN((1-E25)/E25))^-1*LN((E27-D27)/(E27-E26))*LN(D127/(1-D127))-((1-2*E25)*(LN((1-E25)/E25)))^-1*LN(((E27-D27)*(E27-E26))/(E27-F26)^2)*(D127-0.5)*LN(D127/(1-D127)))),IF(F25="b",(D26+E27*EXP(LN((F26-D26)/(E27-F26))+(1/2)*(LN((1-E25)/E25))^-1*LN(((D27-D26)/(E27-D27))/((E26-D26)/(E27-E26)))*LN(D127/(1-D127))+((1-2*E25)*(LN((1-E25)/E25)))^-1*LN((((D27-D26)/(E27-D27))*((E26-D26)/(E27-E26)))/((F26-D26)/(E27-F26))^2)*(D127-0.5)*LN(D127/(1-D127))))/(1+EXP(LN((F26-D26)/(E27-F26))+(1/2)*(LN((1-E25)/E25))^-1*LN(((D27-D26)/(E27-D27))/((E26-D26)/(E27-E26)))*LN(D127/(1-D127))+((1-2*E25)*(LN((1-E25)/E25)))^-1*LN((((D27-D26)/(E27-D27))*((E26-D26)/(E27-E26)))/((F26-D26)/(E27-F26))^2)*(D127-0.5)*LN(D127/(1-D127)))),NA())))))</f>
        <v>56.304654051853767</v>
      </c>
      <c r="F127" s="51">
        <f>IF(F27&lt;&gt;"",NA(),IF(F25="u",((1/2)*(LN((1-E25)/E25))^-1*(D27-E26)/(D127*(1-D127))+((1-2*E25)*(LN((1-E25)/E25)))^-1*(1-2*(F26-E26)/(D27-E26))*(D27-E26)*((D127-0.5)/(D127*(1-D127))+LN(D127/(1-D127))))^(-1),IF(F25="sl",((1/2)*(LN((1-E25)/E25))^-1*LN((D27-D26)/(E26-D26))/(D127*(1-D127))+((1-2*E25)*(LN((1-E25)/E25)))^-1*LN(((D27-D26)*(E26-D26))/(F26-D26)^2)*((D127-0.5)/(D127*(1-D127))+LN(D127/(1-D127))))^(-1)*EXP(-(LN(F26-D26)+(1/2)*(LN((1-E25)/E25))^-1*LN((D27-D26)/(E26-D26))*LN(D127/(1-D127))+((1-2*E25)*(LN((1-E25)/E25)))^-1*LN(((D27-D26)*(E26-D26))/(F26-D26)^2)*(D127-0.5)*LN(D127/(1-D127)))),IF(F25="su",(-(1/2)*(LN((1-E25)/E25))^-1*LN((E27-D27)/(E27-E26))/(D127*(1-D127))-((1-2*E25)*(LN((1-E25)/E25)))^-1*LN(((E27-D27)*(E27-E26))/(E27-F26)^2)*((D127-0.5)/(D127*(1-D127))+LN(D127/(1-D127))))^(-1)*EXP((-LN(E27-F26)-(1/2)*(LN((1-E25)/E25))^-1*LN((E27-D27)/(E27-E26))*LN(D127/(1-D127))-((1-2*E25)*(LN((1-E25)/E25)))^-1*LN(((E27-D27)*(E27-E26))/(E27-F26)^2)*(D127-0.5)*LN(D127/(1-D127)))),IF(F25="b",((1/2)*(LN((1-E25)/E25))^-1*LN(((D27-D26)/(E27-D27))/((E26-D26)/(E27-E26)))/(D127*(1-D127))+((1-2*E25)*(LN((1-E25)/E25)))^-1*LN((((D27-D26)/(E27-D27))*((E26-D26)/(E27-E26)))/((F26-D26)/(E27-F26))^2)*((D127-0.5)/(D127*(1-D127))+LN(D127/(1-D127))))^(-1)*(1+EXP(LN((F26-D26)/(E27-F26))+(1/2)*(LN((1-E25)/E25))^-1*LN(((D27-D26)/(E27-D27))/((E26-D26)/(E27-E26)))*LN(D127/(1-D127))+((1-2*E25)*(LN((1-E25)/E25)))^-1*LN((((D27-D26)/(E27-D27))*((E26-D26)/(E27-E26)))/((F26-D26)/(E27-F26))^2)*(D127-0.5)*LN(D127/(1-D127))))^2/((E27-D26)*EXP(LN((F26-D26)/(E27-F26))+(1/2)*(LN((1-E25)/E25))^-1*LN(((D27-D26)/(E27-D27))/((E26-D26)/(E27-E26)))*LN(D127/(1-D127))+((1-2*E25)*(LN((1-E25)/E25)))^-1*LN((((D27-D26)/(E27-D27))*((E26-D26)/(E27-E26)))/((F26-D26)/(E27-F26))^2)*(D127-0.5)*LN(D127/(1-D127)))),NA())))))</f>
        <v>9.0986280123499692E-3</v>
      </c>
      <c r="H127" s="71">
        <v>91</v>
      </c>
      <c r="I127" s="68">
        <f t="shared" si="7"/>
        <v>106.04440219382576</v>
      </c>
      <c r="J127" s="69">
        <f t="shared" si="8"/>
        <v>105</v>
      </c>
      <c r="K127" s="70">
        <f t="shared" si="9"/>
        <v>2.2640770223596271E-4</v>
      </c>
      <c r="M127"/>
    </row>
    <row r="128" spans="4:13" x14ac:dyDescent="0.35">
      <c r="D128" s="49">
        <f>IF(F27&lt;&gt;"",NA(),(ROW()-ROW(D40))/100)</f>
        <v>0.88</v>
      </c>
      <c r="E128" s="50">
        <f>IF(F27&lt;&gt;"",NA(),IF(F25="u",F26+(1/2)*(LN((1-E25)/E25))^-1*(D27-E26)*LN(D128/(1-D128))+((1-2*E25)*(LN((1-E25)/E25)))^-1*(1-2*(F26-E26)/(D27-E26))*(D27-E26)*(D128-0.5)*LN(D128/(1-D128)),IF(F25="sl",D26+EXP(LN(F26-D26)+(1/2)*(LN((1-E25)/E25))^-1*LN((D27-D26)/(E26-D26))*LN(D128/(1-D128))+((1-2*E25)*(LN((1-E25)/E25)))^-1*LN(((D27-D26)*(E26-D26))/(F26-D26)^2)*(D128-0.5)*LN(D128/(1-D128))),IF(F25="su",E27-EXP(-(-LN(E27-F26)-(1/2)*(LN((1-E25)/E25))^-1*LN((E27-D27)/(E27-E26))*LN(D128/(1-D128))-((1-2*E25)*(LN((1-E25)/E25)))^-1*LN(((E27-D27)*(E27-E26))/(E27-F26)^2)*(D128-0.5)*LN(D128/(1-D128)))),IF(F25="b",(D26+E27*EXP(LN((F26-D26)/(E27-F26))+(1/2)*(LN((1-E25)/E25))^-1*LN(((D27-D26)/(E27-D27))/((E26-D26)/(E27-E26)))*LN(D128/(1-D128))+((1-2*E25)*(LN((1-E25)/E25)))^-1*LN((((D27-D26)/(E27-D27))*((E26-D26)/(E27-E26)))/((F26-D26)/(E27-F26))^2)*(D128-0.5)*LN(D128/(1-D128))))/(1+EXP(LN((F26-D26)/(E27-F26))+(1/2)*(LN((1-E25)/E25))^-1*LN(((D27-D26)/(E27-D27))/((E26-D26)/(E27-E26)))*LN(D128/(1-D128))+((1-2*E25)*(LN((1-E25)/E25)))^-1*LN((((D27-D26)/(E27-D27))*((E26-D26)/(E27-E26)))/((F26-D26)/(E27-F26))^2)*(D128-0.5)*LN(D128/(1-D128)))),NA())))))</f>
        <v>57.443152641167998</v>
      </c>
      <c r="F128" s="51">
        <f>IF(F27&lt;&gt;"",NA(),IF(F25="u",((1/2)*(LN((1-E25)/E25))^-1*(D27-E26)/(D128*(1-D128))+((1-2*E25)*(LN((1-E25)/E25)))^-1*(1-2*(F26-E26)/(D27-E26))*(D27-E26)*((D128-0.5)/(D128*(1-D128))+LN(D128/(1-D128))))^(-1),IF(F25="sl",((1/2)*(LN((1-E25)/E25))^-1*LN((D27-D26)/(E26-D26))/(D128*(1-D128))+((1-2*E25)*(LN((1-E25)/E25)))^-1*LN(((D27-D26)*(E26-D26))/(F26-D26)^2)*((D128-0.5)/(D128*(1-D128))+LN(D128/(1-D128))))^(-1)*EXP(-(LN(F26-D26)+(1/2)*(LN((1-E25)/E25))^-1*LN((D27-D26)/(E26-D26))*LN(D128/(1-D128))+((1-2*E25)*(LN((1-E25)/E25)))^-1*LN(((D27-D26)*(E26-D26))/(F26-D26)^2)*(D128-0.5)*LN(D128/(1-D128)))),IF(F25="su",(-(1/2)*(LN((1-E25)/E25))^-1*LN((E27-D27)/(E27-E26))/(D128*(1-D128))-((1-2*E25)*(LN((1-E25)/E25)))^-1*LN(((E27-D27)*(E27-E26))/(E27-F26)^2)*((D128-0.5)/(D128*(1-D128))+LN(D128/(1-D128))))^(-1)*EXP((-LN(E27-F26)-(1/2)*(LN((1-E25)/E25))^-1*LN((E27-D27)/(E27-E26))*LN(D128/(1-D128))-((1-2*E25)*(LN((1-E25)/E25)))^-1*LN(((E27-D27)*(E27-E26))/(E27-F26)^2)*(D128-0.5)*LN(D128/(1-D128)))),IF(F25="b",((1/2)*(LN((1-E25)/E25))^-1*LN(((D27-D26)/(E27-D27))/((E26-D26)/(E27-E26)))/(D128*(1-D128))+((1-2*E25)*(LN((1-E25)/E25)))^-1*LN((((D27-D26)/(E27-D27))*((E26-D26)/(E27-E26)))/((F26-D26)/(E27-F26))^2)*((D128-0.5)/(D128*(1-D128))+LN(D128/(1-D128))))^(-1)*(1+EXP(LN((F26-D26)/(E27-F26))+(1/2)*(LN((1-E25)/E25))^-1*LN(((D27-D26)/(E27-D27))/((E26-D26)/(E27-E26)))*LN(D128/(1-D128))+((1-2*E25)*(LN((1-E25)/E25)))^-1*LN((((D27-D26)/(E27-D27))*((E26-D26)/(E27-E26)))/((F26-D26)/(E27-F26))^2)*(D128-0.5)*LN(D128/(1-D128))))^2/((E27-D26)*EXP(LN((F26-D26)/(E27-F26))+(1/2)*(LN((1-E25)/E25))^-1*LN(((D27-D26)/(E27-D27))/((E26-D26)/(E27-E26)))*LN(D128/(1-D128))+((1-2*E25)*(LN((1-E25)/E25)))^-1*LN((((D27-D26)/(E27-D27))*((E26-D26)/(E27-E26)))/((F26-D26)/(E27-F26))^2)*(D128-0.5)*LN(D128/(1-D128)))),NA())))))</f>
        <v>8.4743188137195238E-3</v>
      </c>
      <c r="H128" s="71">
        <v>92</v>
      </c>
      <c r="I128" s="68">
        <f t="shared" si="7"/>
        <v>107.31446262376885</v>
      </c>
      <c r="J128" s="69">
        <f t="shared" si="8"/>
        <v>105</v>
      </c>
      <c r="K128" s="70">
        <f t="shared" si="9"/>
        <v>2.1051638212234803E-4</v>
      </c>
      <c r="M128"/>
    </row>
    <row r="129" spans="4:13" x14ac:dyDescent="0.35">
      <c r="D129" s="49">
        <f>IF(F27&lt;&gt;"",NA(),(ROW()-ROW(D40))/100)</f>
        <v>0.89</v>
      </c>
      <c r="E129" s="50">
        <f>IF(F27&lt;&gt;"",NA(),IF(F25="u",F26+(1/2)*(LN((1-E25)/E25))^-1*(D27-E26)*LN(D129/(1-D129))+((1-2*E25)*(LN((1-E25)/E25)))^-1*(1-2*(F26-E26)/(D27-E26))*(D27-E26)*(D129-0.5)*LN(D129/(1-D129)),IF(F25="sl",D26+EXP(LN(F26-D26)+(1/2)*(LN((1-E25)/E25))^-1*LN((D27-D26)/(E26-D26))*LN(D129/(1-D129))+((1-2*E25)*(LN((1-E25)/E25)))^-1*LN(((D27-D26)*(E26-D26))/(F26-D26)^2)*(D129-0.5)*LN(D129/(1-D129))),IF(F25="su",E27-EXP(-(-LN(E27-F26)-(1/2)*(LN((1-E25)/E25))^-1*LN((E27-D27)/(E27-E26))*LN(D129/(1-D129))-((1-2*E25)*(LN((1-E25)/E25)))^-1*LN(((E27-D27)*(E27-E26))/(E27-F26)^2)*(D129-0.5)*LN(D129/(1-D129)))),IF(F25="b",(D26+E27*EXP(LN((F26-D26)/(E27-F26))+(1/2)*(LN((1-E25)/E25))^-1*LN(((D27-D26)/(E27-D27))/((E26-D26)/(E27-E26)))*LN(D129/(1-D129))+((1-2*E25)*(LN((1-E25)/E25)))^-1*LN((((D27-D26)/(E27-D27))*((E26-D26)/(E27-E26)))/((F26-D26)/(E27-F26))^2)*(D129-0.5)*LN(D129/(1-D129))))/(1+EXP(LN((F26-D26)/(E27-F26))+(1/2)*(LN((1-E25)/E25))^-1*LN(((D27-D26)/(E27-D27))/((E26-D26)/(E27-E26)))*LN(D129/(1-D129))+((1-2*E25)*(LN((1-E25)/E25)))^-1*LN((((D27-D26)/(E27-D27))*((E26-D26)/(E27-E26)))/((F26-D26)/(E27-F26))^2)*(D129-0.5)*LN(D129/(1-D129)))),NA())))))</f>
        <v>58.669489829427377</v>
      </c>
      <c r="F129" s="51">
        <f>IF(F27&lt;&gt;"",NA(),IF(F25="u",((1/2)*(LN((1-E25)/E25))^-1*(D27-E26)/(D129*(1-D129))+((1-2*E25)*(LN((1-E25)/E25)))^-1*(1-2*(F26-E26)/(D27-E26))*(D27-E26)*((D129-0.5)/(D129*(1-D129))+LN(D129/(1-D129))))^(-1),IF(F25="sl",((1/2)*(LN((1-E25)/E25))^-1*LN((D27-D26)/(E26-D26))/(D129*(1-D129))+((1-2*E25)*(LN((1-E25)/E25)))^-1*LN(((D27-D26)*(E26-D26))/(F26-D26)^2)*((D129-0.5)/(D129*(1-D129))+LN(D129/(1-D129))))^(-1)*EXP(-(LN(F26-D26)+(1/2)*(LN((1-E25)/E25))^-1*LN((D27-D26)/(E26-D26))*LN(D129/(1-D129))+((1-2*E25)*(LN((1-E25)/E25)))^-1*LN(((D27-D26)*(E26-D26))/(F26-D26)^2)*(D129-0.5)*LN(D129/(1-D129)))),IF(F25="su",(-(1/2)*(LN((1-E25)/E25))^-1*LN((E27-D27)/(E27-E26))/(D129*(1-D129))-((1-2*E25)*(LN((1-E25)/E25)))^-1*LN(((E27-D27)*(E27-E26))/(E27-F26)^2)*((D129-0.5)/(D129*(1-D129))+LN(D129/(1-D129))))^(-1)*EXP((-LN(E27-F26)-(1/2)*(LN((1-E25)/E25))^-1*LN((E27-D27)/(E27-E26))*LN(D129/(1-D129))-((1-2*E25)*(LN((1-E25)/E25)))^-1*LN(((E27-D27)*(E27-E26))/(E27-F26)^2)*(D129-0.5)*LN(D129/(1-D129)))),IF(F25="b",((1/2)*(LN((1-E25)/E25))^-1*LN(((D27-D26)/(E27-D27))/((E26-D26)/(E27-E26)))/(D129*(1-D129))+((1-2*E25)*(LN((1-E25)/E25)))^-1*LN((((D27-D26)/(E27-D27))*((E26-D26)/(E27-E26)))/((F26-D26)/(E27-F26))^2)*((D129-0.5)/(D129*(1-D129))+LN(D129/(1-D129))))^(-1)*(1+EXP(LN((F26-D26)/(E27-F26))+(1/2)*(LN((1-E25)/E25))^-1*LN(((D27-D26)/(E27-D27))/((E26-D26)/(E27-E26)))*LN(D129/(1-D129))+((1-2*E25)*(LN((1-E25)/E25)))^-1*LN((((D27-D26)/(E27-D27))*((E26-D26)/(E27-E26)))/((F26-D26)/(E27-F26))^2)*(D129-0.5)*LN(D129/(1-D129))))^2/((E27-D26)*EXP(LN((F26-D26)/(E27-F26))+(1/2)*(LN((1-E25)/E25))^-1*LN(((D27-D26)/(E27-D27))/((E26-D26)/(E27-E26)))*LN(D129/(1-D129))+((1-2*E25)*(LN((1-E25)/E25)))^-1*LN((((D27-D26)/(E27-D27))*((E26-D26)/(E27-E26)))/((F26-D26)/(E27-F26))^2)*(D129-0.5)*LN(D129/(1-D129)))),NA())))))</f>
        <v>7.8410679585753911E-3</v>
      </c>
      <c r="H129" s="71">
        <v>93</v>
      </c>
      <c r="I129" s="68">
        <f t="shared" si="7"/>
        <v>108.58452305371193</v>
      </c>
      <c r="J129" s="69">
        <f t="shared" si="8"/>
        <v>105</v>
      </c>
      <c r="K129" s="70">
        <f t="shared" si="9"/>
        <v>1.946250620087333E-4</v>
      </c>
      <c r="M129"/>
    </row>
    <row r="130" spans="4:13" x14ac:dyDescent="0.35">
      <c r="D130" s="49">
        <f>IF(F27&lt;&gt;"",NA(),(ROW()-ROW(D40))/100)</f>
        <v>0.9</v>
      </c>
      <c r="E130" s="50">
        <f>IF(F27&lt;&gt;"",NA(),IF(F25="u",F26+(1/2)*(LN((1-E25)/E25))^-1*(D27-E26)*LN(D130/(1-D130))+((1-2*E25)*(LN((1-E25)/E25)))^-1*(1-2*(F26-E26)/(D27-E26))*(D27-E26)*(D130-0.5)*LN(D130/(1-D130)),IF(F25="sl",D26+EXP(LN(F26-D26)+(1/2)*(LN((1-E25)/E25))^-1*LN((D27-D26)/(E26-D26))*LN(D130/(1-D130))+((1-2*E25)*(LN((1-E25)/E25)))^-1*LN(((D27-D26)*(E26-D26))/(F26-D26)^2)*(D130-0.5)*LN(D130/(1-D130))),IF(F25="su",E27-EXP(-(-LN(E27-F26)-(1/2)*(LN((1-E25)/E25))^-1*LN((E27-D27)/(E27-E26))*LN(D130/(1-D130))-((1-2*E25)*(LN((1-E25)/E25)))^-1*LN(((E27-D27)*(E27-E26))/(E27-F26)^2)*(D130-0.5)*LN(D130/(1-D130)))),IF(F25="b",(D26+E27*EXP(LN((F26-D26)/(E27-F26))+(1/2)*(LN((1-E25)/E25))^-1*LN(((D27-D26)/(E27-D27))/((E26-D26)/(E27-E26)))*LN(D130/(1-D130))+((1-2*E25)*(LN((1-E25)/E25)))^-1*LN((((D27-D26)/(E27-D27))*((E26-D26)/(E27-E26)))/((F26-D26)/(E27-F26))^2)*(D130-0.5)*LN(D130/(1-D130))))/(1+EXP(LN((F26-D26)/(E27-F26))+(1/2)*(LN((1-E25)/E25))^-1*LN(((D27-D26)/(E27-D27))/((E26-D26)/(E27-E26)))*LN(D130/(1-D130))+((1-2*E25)*(LN((1-E25)/E25)))^-1*LN((((D27-D26)/(E27-D27))*((E26-D26)/(E27-E26)))/((F26-D26)/(E27-F26))^2)*(D130-0.5)*LN(D130/(1-D130)))),NA())))))</f>
        <v>60</v>
      </c>
      <c r="F130" s="51">
        <f>IF(F27&lt;&gt;"",NA(),IF(F25="u",((1/2)*(LN((1-E25)/E25))^-1*(D27-E26)/(D130*(1-D130))+((1-2*E25)*(LN((1-E25)/E25)))^-1*(1-2*(F26-E26)/(D27-E26))*(D27-E26)*((D130-0.5)/(D130*(1-D130))+LN(D130/(1-D130))))^(-1),IF(F25="sl",((1/2)*(LN((1-E25)/E25))^-1*LN((D27-D26)/(E26-D26))/(D130*(1-D130))+((1-2*E25)*(LN((1-E25)/E25)))^-1*LN(((D27-D26)*(E26-D26))/(F26-D26)^2)*((D130-0.5)/(D130*(1-D130))+LN(D130/(1-D130))))^(-1)*EXP(-(LN(F26-D26)+(1/2)*(LN((1-E25)/E25))^-1*LN((D27-D26)/(E26-D26))*LN(D130/(1-D130))+((1-2*E25)*(LN((1-E25)/E25)))^-1*LN(((D27-D26)*(E26-D26))/(F26-D26)^2)*(D130-0.5)*LN(D130/(1-D130)))),IF(F25="su",(-(1/2)*(LN((1-E25)/E25))^-1*LN((E27-D27)/(E27-E26))/(D130*(1-D130))-((1-2*E25)*(LN((1-E25)/E25)))^-1*LN(((E27-D27)*(E27-E26))/(E27-F26)^2)*((D130-0.5)/(D130*(1-D130))+LN(D130/(1-D130))))^(-1)*EXP((-LN(E27-F26)-(1/2)*(LN((1-E25)/E25))^-1*LN((E27-D27)/(E27-E26))*LN(D130/(1-D130))-((1-2*E25)*(LN((1-E25)/E25)))^-1*LN(((E27-D27)*(E27-E26))/(E27-F26)^2)*(D130-0.5)*LN(D130/(1-D130)))),IF(F25="b",((1/2)*(LN((1-E25)/E25))^-1*LN(((D27-D26)/(E27-D27))/((E26-D26)/(E27-E26)))/(D130*(1-D130))+((1-2*E25)*(LN((1-E25)/E25)))^-1*LN((((D27-D26)/(E27-D27))*((E26-D26)/(E27-E26)))/((F26-D26)/(E27-F26))^2)*((D130-0.5)/(D130*(1-D130))+LN(D130/(1-D130))))^(-1)*(1+EXP(LN((F26-D26)/(E27-F26))+(1/2)*(LN((1-E25)/E25))^-1*LN(((D27-D26)/(E27-D27))/((E26-D26)/(E27-E26)))*LN(D130/(1-D130))+((1-2*E25)*(LN((1-E25)/E25)))^-1*LN((((D27-D26)/(E27-D27))*((E26-D26)/(E27-E26)))/((F26-D26)/(E27-F26))^2)*(D130-0.5)*LN(D130/(1-D130))))^2/((E27-D26)*EXP(LN((F26-D26)/(E27-F26))+(1/2)*(LN((1-E25)/E25))^-1*LN(((D27-D26)/(E27-D27))/((E26-D26)/(E27-E26)))*LN(D130/(1-D130))+((1-2*E25)*(LN((1-E25)/E25)))^-1*LN((((D27-D26)/(E27-D27))*((E26-D26)/(E27-E26)))/((F26-D26)/(E27-F26))^2)*(D130-0.5)*LN(D130/(1-D130)))),NA())))))</f>
        <v>7.1982779802397499E-3</v>
      </c>
      <c r="H130" s="71">
        <v>94</v>
      </c>
      <c r="I130" s="68">
        <f t="shared" si="7"/>
        <v>109.85458348365502</v>
      </c>
      <c r="J130" s="69">
        <f t="shared" si="8"/>
        <v>105</v>
      </c>
      <c r="K130" s="70">
        <f t="shared" si="9"/>
        <v>1.7873374189511862E-4</v>
      </c>
      <c r="M130"/>
    </row>
    <row r="131" spans="4:13" x14ac:dyDescent="0.35">
      <c r="D131" s="49">
        <f>IF(F27&lt;&gt;"",NA(),(ROW()-ROW(D40))/100)</f>
        <v>0.91</v>
      </c>
      <c r="E131" s="50">
        <f>IF(F27&lt;&gt;"",NA(),IF(F25="u",F26+(1/2)*(LN((1-E25)/E25))^-1*(D27-E26)*LN(D131/(1-D131))+((1-2*E25)*(LN((1-E25)/E25)))^-1*(1-2*(F26-E26)/(D27-E26))*(D27-E26)*(D131-0.5)*LN(D131/(1-D131)),IF(F25="sl",D26+EXP(LN(F26-D26)+(1/2)*(LN((1-E25)/E25))^-1*LN((D27-D26)/(E26-D26))*LN(D131/(1-D131))+((1-2*E25)*(LN((1-E25)/E25)))^-1*LN(((D27-D26)*(E26-D26))/(F26-D26)^2)*(D131-0.5)*LN(D131/(1-D131))),IF(F25="su",E27-EXP(-(-LN(E27-F26)-(1/2)*(LN((1-E25)/E25))^-1*LN((E27-D27)/(E27-E26))*LN(D131/(1-D131))-((1-2*E25)*(LN((1-E25)/E25)))^-1*LN(((E27-D27)*(E27-E26))/(E27-F26)^2)*(D131-0.5)*LN(D131/(1-D131)))),IF(F25="b",(D26+E27*EXP(LN((F26-D26)/(E27-F26))+(1/2)*(LN((1-E25)/E25))^-1*LN(((D27-D26)/(E27-D27))/((E26-D26)/(E27-E26)))*LN(D131/(1-D131))+((1-2*E25)*(LN((1-E25)/E25)))^-1*LN((((D27-D26)/(E27-D27))*((E26-D26)/(E27-E26)))/((F26-D26)/(E27-F26))^2)*(D131-0.5)*LN(D131/(1-D131))))/(1+EXP(LN((F26-D26)/(E27-F26))+(1/2)*(LN((1-E25)/E25))^-1*LN(((D27-D26)/(E27-D27))/((E26-D26)/(E27-E26)))*LN(D131/(1-D131))+((1-2*E25)*(LN((1-E25)/E25)))^-1*LN((((D27-D26)/(E27-D27))*((E26-D26)/(E27-E26)))/((F26-D26)/(E27-F26))^2)*(D131-0.5)*LN(D131/(1-D131)))),NA())))))</f>
        <v>61.456138437217326</v>
      </c>
      <c r="F131" s="51">
        <f>IF(F27&lt;&gt;"",NA(),IF(F25="u",((1/2)*(LN((1-E25)/E25))^-1*(D27-E26)/(D131*(1-D131))+((1-2*E25)*(LN((1-E25)/E25)))^-1*(1-2*(F26-E26)/(D27-E26))*(D27-E26)*((D131-0.5)/(D131*(1-D131))+LN(D131/(1-D131))))^(-1),IF(F25="sl",((1/2)*(LN((1-E25)/E25))^-1*LN((D27-D26)/(E26-D26))/(D131*(1-D131))+((1-2*E25)*(LN((1-E25)/E25)))^-1*LN(((D27-D26)*(E26-D26))/(F26-D26)^2)*((D131-0.5)/(D131*(1-D131))+LN(D131/(1-D131))))^(-1)*EXP(-(LN(F26-D26)+(1/2)*(LN((1-E25)/E25))^-1*LN((D27-D26)/(E26-D26))*LN(D131/(1-D131))+((1-2*E25)*(LN((1-E25)/E25)))^-1*LN(((D27-D26)*(E26-D26))/(F26-D26)^2)*(D131-0.5)*LN(D131/(1-D131)))),IF(F25="su",(-(1/2)*(LN((1-E25)/E25))^-1*LN((E27-D27)/(E27-E26))/(D131*(1-D131))-((1-2*E25)*(LN((1-E25)/E25)))^-1*LN(((E27-D27)*(E27-E26))/(E27-F26)^2)*((D131-0.5)/(D131*(1-D131))+LN(D131/(1-D131))))^(-1)*EXP((-LN(E27-F26)-(1/2)*(LN((1-E25)/E25))^-1*LN((E27-D27)/(E27-E26))*LN(D131/(1-D131))-((1-2*E25)*(LN((1-E25)/E25)))^-1*LN(((E27-D27)*(E27-E26))/(E27-F26)^2)*(D131-0.5)*LN(D131/(1-D131)))),IF(F25="b",((1/2)*(LN((1-E25)/E25))^-1*LN(((D27-D26)/(E27-D27))/((E26-D26)/(E27-E26)))/(D131*(1-D131))+((1-2*E25)*(LN((1-E25)/E25)))^-1*LN((((D27-D26)/(E27-D27))*((E26-D26)/(E27-E26)))/((F26-D26)/(E27-F26))^2)*((D131-0.5)/(D131*(1-D131))+LN(D131/(1-D131))))^(-1)*(1+EXP(LN((F26-D26)/(E27-F26))+(1/2)*(LN((1-E25)/E25))^-1*LN(((D27-D26)/(E27-D27))/((E26-D26)/(E27-E26)))*LN(D131/(1-D131))+((1-2*E25)*(LN((1-E25)/E25)))^-1*LN((((D27-D26)/(E27-D27))*((E26-D26)/(E27-E26)))/((F26-D26)/(E27-F26))^2)*(D131-0.5)*LN(D131/(1-D131))))^2/((E27-D26)*EXP(LN((F26-D26)/(E27-F26))+(1/2)*(LN((1-E25)/E25))^-1*LN(((D27-D26)/(E27-D27))/((E26-D26)/(E27-E26)))*LN(D131/(1-D131))+((1-2*E25)*(LN((1-E25)/E25)))^-1*LN((((D27-D26)/(E27-D27))*((E26-D26)/(E27-E26)))/((F26-D26)/(E27-F26))^2)*(D131-0.5)*LN(D131/(1-D131)))),NA())))))</f>
        <v>6.545261413095119E-3</v>
      </c>
      <c r="H131" s="71">
        <v>95</v>
      </c>
      <c r="I131" s="68">
        <f t="shared" si="7"/>
        <v>111.12464391359811</v>
      </c>
      <c r="J131" s="69">
        <f t="shared" si="8"/>
        <v>105</v>
      </c>
      <c r="K131" s="70">
        <f t="shared" si="9"/>
        <v>1.6284242178150391E-4</v>
      </c>
      <c r="M131"/>
    </row>
    <row r="132" spans="4:13" x14ac:dyDescent="0.35">
      <c r="D132" s="49">
        <f>IF(F27&lt;&gt;"",NA(),(ROW()-ROW(D40))/100)</f>
        <v>0.92</v>
      </c>
      <c r="E132" s="50">
        <f>IF(F27&lt;&gt;"",NA(),IF(F25="u",F26+(1/2)*(LN((1-E25)/E25))^-1*(D27-E26)*LN(D132/(1-D132))+((1-2*E25)*(LN((1-E25)/E25)))^-1*(1-2*(F26-E26)/(D27-E26))*(D27-E26)*(D132-0.5)*LN(D132/(1-D132)),IF(F25="sl",D26+EXP(LN(F26-D26)+(1/2)*(LN((1-E25)/E25))^-1*LN((D27-D26)/(E26-D26))*LN(D132/(1-D132))+((1-2*E25)*(LN((1-E25)/E25)))^-1*LN(((D27-D26)*(E26-D26))/(F26-D26)^2)*(D132-0.5)*LN(D132/(1-D132))),IF(F25="su",E27-EXP(-(-LN(E27-F26)-(1/2)*(LN((1-E25)/E25))^-1*LN((E27-D27)/(E27-E26))*LN(D132/(1-D132))-((1-2*E25)*(LN((1-E25)/E25)))^-1*LN(((E27-D27)*(E27-E26))/(E27-F26)^2)*(D132-0.5)*LN(D132/(1-D132)))),IF(F25="b",(D26+E27*EXP(LN((F26-D26)/(E27-F26))+(1/2)*(LN((1-E25)/E25))^-1*LN(((D27-D26)/(E27-D27))/((E26-D26)/(E27-E26)))*LN(D132/(1-D132))+((1-2*E25)*(LN((1-E25)/E25)))^-1*LN((((D27-D26)/(E27-D27))*((E26-D26)/(E27-E26)))/((F26-D26)/(E27-F26))^2)*(D132-0.5)*LN(D132/(1-D132))))/(1+EXP(LN((F26-D26)/(E27-F26))+(1/2)*(LN((1-E25)/E25))^-1*LN(((D27-D26)/(E27-D27))/((E26-D26)/(E27-E26)))*LN(D132/(1-D132))+((1-2*E25)*(LN((1-E25)/E25)))^-1*LN((((D27-D26)/(E27-D27))*((E26-D26)/(E27-E26)))/((F26-D26)/(E27-F26))^2)*(D132-0.5)*LN(D132/(1-D132)))),NA())))))</f>
        <v>63.066890967438781</v>
      </c>
      <c r="F132" s="51">
        <f>IF(F27&lt;&gt;"",NA(),IF(F25="u",((1/2)*(LN((1-E25)/E25))^-1*(D27-E26)/(D132*(1-D132))+((1-2*E25)*(LN((1-E25)/E25)))^-1*(1-2*(F26-E26)/(D27-E26))*(D27-E26)*((D132-0.5)/(D132*(1-D132))+LN(D132/(1-D132))))^(-1),IF(F25="sl",((1/2)*(LN((1-E25)/E25))^-1*LN((D27-D26)/(E26-D26))/(D132*(1-D132))+((1-2*E25)*(LN((1-E25)/E25)))^-1*LN(((D27-D26)*(E26-D26))/(F26-D26)^2)*((D132-0.5)/(D132*(1-D132))+LN(D132/(1-D132))))^(-1)*EXP(-(LN(F26-D26)+(1/2)*(LN((1-E25)/E25))^-1*LN((D27-D26)/(E26-D26))*LN(D132/(1-D132))+((1-2*E25)*(LN((1-E25)/E25)))^-1*LN(((D27-D26)*(E26-D26))/(F26-D26)^2)*(D132-0.5)*LN(D132/(1-D132)))),IF(F25="su",(-(1/2)*(LN((1-E25)/E25))^-1*LN((E27-D27)/(E27-E26))/(D132*(1-D132))-((1-2*E25)*(LN((1-E25)/E25)))^-1*LN(((E27-D27)*(E27-E26))/(E27-F26)^2)*((D132-0.5)/(D132*(1-D132))+LN(D132/(1-D132))))^(-1)*EXP((-LN(E27-F26)-(1/2)*(LN((1-E25)/E25))^-1*LN((E27-D27)/(E27-E26))*LN(D132/(1-D132))-((1-2*E25)*(LN((1-E25)/E25)))^-1*LN(((E27-D27)*(E27-E26))/(E27-F26)^2)*(D132-0.5)*LN(D132/(1-D132)))),IF(F25="b",((1/2)*(LN((1-E25)/E25))^-1*LN(((D27-D26)/(E27-D27))/((E26-D26)/(E27-E26)))/(D132*(1-D132))+((1-2*E25)*(LN((1-E25)/E25)))^-1*LN((((D27-D26)/(E27-D27))*((E26-D26)/(E27-E26)))/((F26-D26)/(E27-F26))^2)*((D132-0.5)/(D132*(1-D132))+LN(D132/(1-D132))))^(-1)*(1+EXP(LN((F26-D26)/(E27-F26))+(1/2)*(LN((1-E25)/E25))^-1*LN(((D27-D26)/(E27-D27))/((E26-D26)/(E27-E26)))*LN(D132/(1-D132))+((1-2*E25)*(LN((1-E25)/E25)))^-1*LN((((D27-D26)/(E27-D27))*((E26-D26)/(E27-E26)))/((F26-D26)/(E27-F26))^2)*(D132-0.5)*LN(D132/(1-D132))))^2/((E27-D26)*EXP(LN((F26-D26)/(E27-F26))+(1/2)*(LN((1-E25)/E25))^-1*LN(((D27-D26)/(E27-D27))/((E26-D26)/(E27-E26)))*LN(D132/(1-D132))+((1-2*E25)*(LN((1-E25)/E25)))^-1*LN((((D27-D26)/(E27-D27))*((E26-D26)/(E27-E26)))/((F26-D26)/(E27-F26))^2)*(D132-0.5)*LN(D132/(1-D132)))),NA())))))</f>
        <v>5.8812222576714521E-3</v>
      </c>
      <c r="H132" s="71">
        <v>96</v>
      </c>
      <c r="I132" s="68">
        <f t="shared" si="7"/>
        <v>112.39470434354119</v>
      </c>
      <c r="J132" s="69">
        <f t="shared" si="8"/>
        <v>105</v>
      </c>
      <c r="K132" s="70">
        <f t="shared" si="9"/>
        <v>1.4695110166788921E-4</v>
      </c>
      <c r="M132"/>
    </row>
    <row r="133" spans="4:13" x14ac:dyDescent="0.35">
      <c r="D133" s="49">
        <f>IF(F27&lt;&gt;"",NA(),(ROW()-ROW(D40))/100)</f>
        <v>0.93</v>
      </c>
      <c r="E133" s="50">
        <f>IF(F27&lt;&gt;"",NA(),IF(F25="u",F26+(1/2)*(LN((1-E25)/E25))^-1*(D27-E26)*LN(D133/(1-D133))+((1-2*E25)*(LN((1-E25)/E25)))^-1*(1-2*(F26-E26)/(D27-E26))*(D27-E26)*(D133-0.5)*LN(D133/(1-D133)),IF(F25="sl",D26+EXP(LN(F26-D26)+(1/2)*(LN((1-E25)/E25))^-1*LN((D27-D26)/(E26-D26))*LN(D133/(1-D133))+((1-2*E25)*(LN((1-E25)/E25)))^-1*LN(((D27-D26)*(E26-D26))/(F26-D26)^2)*(D133-0.5)*LN(D133/(1-D133))),IF(F25="su",E27-EXP(-(-LN(E27-F26)-(1/2)*(LN((1-E25)/E25))^-1*LN((E27-D27)/(E27-E26))*LN(D133/(1-D133))-((1-2*E25)*(LN((1-E25)/E25)))^-1*LN(((E27-D27)*(E27-E26))/(E27-F26)^2)*(D133-0.5)*LN(D133/(1-D133)))),IF(F25="b",(D26+E27*EXP(LN((F26-D26)/(E27-F26))+(1/2)*(LN((1-E25)/E25))^-1*LN(((D27-D26)/(E27-D27))/((E26-D26)/(E27-E26)))*LN(D133/(1-D133))+((1-2*E25)*(LN((1-E25)/E25)))^-1*LN((((D27-D26)/(E27-D27))*((E26-D26)/(E27-E26)))/((F26-D26)/(E27-F26))^2)*(D133-0.5)*LN(D133/(1-D133))))/(1+EXP(LN((F26-D26)/(E27-F26))+(1/2)*(LN((1-E25)/E25))^-1*LN(((D27-D26)/(E27-D27))/((E26-D26)/(E27-E26)))*LN(D133/(1-D133))+((1-2*E25)*(LN((1-E25)/E25)))^-1*LN((((D27-D26)/(E27-D27))*((E26-D26)/(E27-E26)))/((F26-D26)/(E27-F26))^2)*(D133-0.5)*LN(D133/(1-D133)))),NA())))))</f>
        <v>64.87279624646284</v>
      </c>
      <c r="F133" s="51">
        <f>IF(F27&lt;&gt;"",NA(),IF(F25="u",((1/2)*(LN((1-E25)/E25))^-1*(D27-E26)/(D133*(1-D133))+((1-2*E25)*(LN((1-E25)/E25)))^-1*(1-2*(F26-E26)/(D27-E26))*(D27-E26)*((D133-0.5)/(D133*(1-D133))+LN(D133/(1-D133))))^(-1),IF(F25="sl",((1/2)*(LN((1-E25)/E25))^-1*LN((D27-D26)/(E26-D26))/(D133*(1-D133))+((1-2*E25)*(LN((1-E25)/E25)))^-1*LN(((D27-D26)*(E26-D26))/(F26-D26)^2)*((D133-0.5)/(D133*(1-D133))+LN(D133/(1-D133))))^(-1)*EXP(-(LN(F26-D26)+(1/2)*(LN((1-E25)/E25))^-1*LN((D27-D26)/(E26-D26))*LN(D133/(1-D133))+((1-2*E25)*(LN((1-E25)/E25)))^-1*LN(((D27-D26)*(E26-D26))/(F26-D26)^2)*(D133-0.5)*LN(D133/(1-D133)))),IF(F25="su",(-(1/2)*(LN((1-E25)/E25))^-1*LN((E27-D27)/(E27-E26))/(D133*(1-D133))-((1-2*E25)*(LN((1-E25)/E25)))^-1*LN(((E27-D27)*(E27-E26))/(E27-F26)^2)*((D133-0.5)/(D133*(1-D133))+LN(D133/(1-D133))))^(-1)*EXP((-LN(E27-F26)-(1/2)*(LN((1-E25)/E25))^-1*LN((E27-D27)/(E27-E26))*LN(D133/(1-D133))-((1-2*E25)*(LN((1-E25)/E25)))^-1*LN(((E27-D27)*(E27-E26))/(E27-F26)^2)*(D133-0.5)*LN(D133/(1-D133)))),IF(F25="b",((1/2)*(LN((1-E25)/E25))^-1*LN(((D27-D26)/(E27-D27))/((E26-D26)/(E27-E26)))/(D133*(1-D133))+((1-2*E25)*(LN((1-E25)/E25)))^-1*LN((((D27-D26)/(E27-D27))*((E26-D26)/(E27-E26)))/((F26-D26)/(E27-F26))^2)*((D133-0.5)/(D133*(1-D133))+LN(D133/(1-D133))))^(-1)*(1+EXP(LN((F26-D26)/(E27-F26))+(1/2)*(LN((1-E25)/E25))^-1*LN(((D27-D26)/(E27-D27))/((E26-D26)/(E27-E26)))*LN(D133/(1-D133))+((1-2*E25)*(LN((1-E25)/E25)))^-1*LN((((D27-D26)/(E27-D27))*((E26-D26)/(E27-E26)))/((F26-D26)/(E27-F26))^2)*(D133-0.5)*LN(D133/(1-D133))))^2/((E27-D26)*EXP(LN((F26-D26)/(E27-F26))+(1/2)*(LN((1-E25)/E25))^-1*LN(((D27-D26)/(E27-D27))/((E26-D26)/(E27-E26)))*LN(D133/(1-D133))+((1-2*E25)*(LN((1-E25)/E25)))^-1*LN((((D27-D26)/(E27-D27))*((E26-D26)/(E27-E26)))/((F26-D26)/(E27-F26))^2)*(D133-0.5)*LN(D133/(1-D133)))),NA())))))</f>
        <v>5.2052308752400141E-3</v>
      </c>
      <c r="H133" s="71">
        <v>97</v>
      </c>
      <c r="I133" s="68">
        <f t="shared" si="7"/>
        <v>113.66476477348428</v>
      </c>
      <c r="J133" s="69">
        <f t="shared" si="8"/>
        <v>105</v>
      </c>
      <c r="K133" s="70">
        <f t="shared" si="9"/>
        <v>1.3105978155427447E-4</v>
      </c>
      <c r="M133"/>
    </row>
    <row r="134" spans="4:13" x14ac:dyDescent="0.35">
      <c r="D134" s="49">
        <f>IF(F27&lt;&gt;"",NA(),(ROW()-ROW(D40))/100)</f>
        <v>0.94</v>
      </c>
      <c r="E134" s="50">
        <f>IF(F27&lt;&gt;"",NA(),IF(F25="u",F26+(1/2)*(LN((1-E25)/E25))^-1*(D27-E26)*LN(D134/(1-D134))+((1-2*E25)*(LN((1-E25)/E25)))^-1*(1-2*(F26-E26)/(D27-E26))*(D27-E26)*(D134-0.5)*LN(D134/(1-D134)),IF(F25="sl",D26+EXP(LN(F26-D26)+(1/2)*(LN((1-E25)/E25))^-1*LN((D27-D26)/(E26-D26))*LN(D134/(1-D134))+((1-2*E25)*(LN((1-E25)/E25)))^-1*LN(((D27-D26)*(E26-D26))/(F26-D26)^2)*(D134-0.5)*LN(D134/(1-D134))),IF(F25="su",E27-EXP(-(-LN(E27-F26)-(1/2)*(LN((1-E25)/E25))^-1*LN((E27-D27)/(E27-E26))*LN(D134/(1-D134))-((1-2*E25)*(LN((1-E25)/E25)))^-1*LN(((E27-D27)*(E27-E26))/(E27-F26)^2)*(D134-0.5)*LN(D134/(1-D134)))),IF(F25="b",(D26+E27*EXP(LN((F26-D26)/(E27-F26))+(1/2)*(LN((1-E25)/E25))^-1*LN(((D27-D26)/(E27-D27))/((E26-D26)/(E27-E26)))*LN(D134/(1-D134))+((1-2*E25)*(LN((1-E25)/E25)))^-1*LN((((D27-D26)/(E27-D27))*((E26-D26)/(E27-E26)))/((F26-D26)/(E27-F26))^2)*(D134-0.5)*LN(D134/(1-D134))))/(1+EXP(LN((F26-D26)/(E27-F26))+(1/2)*(LN((1-E25)/E25))^-1*LN(((D27-D26)/(E27-D27))/((E26-D26)/(E27-E26)))*LN(D134/(1-D134))+((1-2*E25)*(LN((1-E25)/E25)))^-1*LN((((D27-D26)/(E27-D27))*((E26-D26)/(E27-E26)))/((F26-D26)/(E27-F26))^2)*(D134-0.5)*LN(D134/(1-D134)))),NA())))))</f>
        <v>66.933081036091622</v>
      </c>
      <c r="F134" s="51">
        <f>IF(F27&lt;&gt;"",NA(),IF(F25="u",((1/2)*(LN((1-E25)/E25))^-1*(D27-E26)/(D134*(1-D134))+((1-2*E25)*(LN((1-E25)/E25)))^-1*(1-2*(F26-E26)/(D27-E26))*(D27-E26)*((D134-0.5)/(D134*(1-D134))+LN(D134/(1-D134))))^(-1),IF(F25="sl",((1/2)*(LN((1-E25)/E25))^-1*LN((D27-D26)/(E26-D26))/(D134*(1-D134))+((1-2*E25)*(LN((1-E25)/E25)))^-1*LN(((D27-D26)*(E26-D26))/(F26-D26)^2)*((D134-0.5)/(D134*(1-D134))+LN(D134/(1-D134))))^(-1)*EXP(-(LN(F26-D26)+(1/2)*(LN((1-E25)/E25))^-1*LN((D27-D26)/(E26-D26))*LN(D134/(1-D134))+((1-2*E25)*(LN((1-E25)/E25)))^-1*LN(((D27-D26)*(E26-D26))/(F26-D26)^2)*(D134-0.5)*LN(D134/(1-D134)))),IF(F25="su",(-(1/2)*(LN((1-E25)/E25))^-1*LN((E27-D27)/(E27-E26))/(D134*(1-D134))-((1-2*E25)*(LN((1-E25)/E25)))^-1*LN(((E27-D27)*(E27-E26))/(E27-F26)^2)*((D134-0.5)/(D134*(1-D134))+LN(D134/(1-D134))))^(-1)*EXP((-LN(E27-F26)-(1/2)*(LN((1-E25)/E25))^-1*LN((E27-D27)/(E27-E26))*LN(D134/(1-D134))-((1-2*E25)*(LN((1-E25)/E25)))^-1*LN(((E27-D27)*(E27-E26))/(E27-F26)^2)*(D134-0.5)*LN(D134/(1-D134)))),IF(F25="b",((1/2)*(LN((1-E25)/E25))^-1*LN(((D27-D26)/(E27-D27))/((E26-D26)/(E27-E26)))/(D134*(1-D134))+((1-2*E25)*(LN((1-E25)/E25)))^-1*LN((((D27-D26)/(E27-D27))*((E26-D26)/(E27-E26)))/((F26-D26)/(E27-F26))^2)*((D134-0.5)/(D134*(1-D134))+LN(D134/(1-D134))))^(-1)*(1+EXP(LN((F26-D26)/(E27-F26))+(1/2)*(LN((1-E25)/E25))^-1*LN(((D27-D26)/(E27-D27))/((E26-D26)/(E27-E26)))*LN(D134/(1-D134))+((1-2*E25)*(LN((1-E25)/E25)))^-1*LN((((D27-D26)/(E27-D27))*((E26-D26)/(E27-E26)))/((F26-D26)/(E27-F26))^2)*(D134-0.5)*LN(D134/(1-D134))))^2/((E27-D26)*EXP(LN((F26-D26)/(E27-F26))+(1/2)*(LN((1-E25)/E25))^-1*LN(((D27-D26)/(E27-D27))/((E26-D26)/(E27-E26)))*LN(D134/(1-D134))+((1-2*E25)*(LN((1-E25)/E25)))^-1*LN((((D27-D26)/(E27-D27))*((E26-D26)/(E27-E26)))/((F26-D26)/(E27-F26))^2)*(D134-0.5)*LN(D134/(1-D134)))),NA())))))</f>
        <v>4.5161888882822411E-3</v>
      </c>
      <c r="H134" s="71">
        <v>98</v>
      </c>
      <c r="I134" s="68">
        <f t="shared" si="7"/>
        <v>114.93482520342737</v>
      </c>
      <c r="J134" s="69">
        <f t="shared" ref="J134:J136" si="10">LOOKUP( I134, E$37:E$143, H$37:H$143 )</f>
        <v>105</v>
      </c>
      <c r="K134" s="70">
        <f t="shared" ref="K134:K135" si="11">INDEX( F$37:F$143, J134, 1 ) + (( I134 - INDEX( E$37:E$143, J134, 1 )) / ( INDEX( E$37:E$143, J134+1, 1 ) - INDEX( E$37:E$143, J134, 1 ))) * ( INDEX( F$37:F$143, J134 + 1, 1 ) - INDEX( F$37:F$143, J134, 1 ))</f>
        <v>1.1516846144065979E-4</v>
      </c>
      <c r="M134"/>
    </row>
    <row r="135" spans="4:13" x14ac:dyDescent="0.35">
      <c r="D135" s="49">
        <f>IF(F27&lt;&gt;"",NA(),(ROW()-ROW(D40))/100)</f>
        <v>0.95</v>
      </c>
      <c r="E135" s="50">
        <f>IF(F27&lt;&gt;"",NA(),IF(F25="u",F26+(1/2)*(LN((1-E25)/E25))^-1*(D27-E26)*LN(D135/(1-D135))+((1-2*E25)*(LN((1-E25)/E25)))^-1*(1-2*(F26-E26)/(D27-E26))*(D27-E26)*(D135-0.5)*LN(D135/(1-D135)),IF(F25="sl",D26+EXP(LN(F26-D26)+(1/2)*(LN((1-E25)/E25))^-1*LN((D27-D26)/(E26-D26))*LN(D135/(1-D135))+((1-2*E25)*(LN((1-E25)/E25)))^-1*LN(((D27-D26)*(E26-D26))/(F26-D26)^2)*(D135-0.5)*LN(D135/(1-D135))),IF(F25="su",E27-EXP(-(-LN(E27-F26)-(1/2)*(LN((1-E25)/E25))^-1*LN((E27-D27)/(E27-E26))*LN(D135/(1-D135))-((1-2*E25)*(LN((1-E25)/E25)))^-1*LN(((E27-D27)*(E27-E26))/(E27-F26)^2)*(D135-0.5)*LN(D135/(1-D135)))),IF(F25="b",(D26+E27*EXP(LN((F26-D26)/(E27-F26))+(1/2)*(LN((1-E25)/E25))^-1*LN(((D27-D26)/(E27-D27))/((E26-D26)/(E27-E26)))*LN(D135/(1-D135))+((1-2*E25)*(LN((1-E25)/E25)))^-1*LN((((D27-D26)/(E27-D27))*((E26-D26)/(E27-E26)))/((F26-D26)/(E27-F26))^2)*(D135-0.5)*LN(D135/(1-D135))))/(1+EXP(LN((F26-D26)/(E27-F26))+(1/2)*(LN((1-E25)/E25))^-1*LN(((D27-D26)/(E27-D27))/((E26-D26)/(E27-E26)))*LN(D135/(1-D135))+((1-2*E25)*(LN((1-E25)/E25)))^-1*LN((((D27-D26)/(E27-D27))*((E26-D26)/(E27-E26)))/((F26-D26)/(E27-F26))^2)*(D135-0.5)*LN(D135/(1-D135)))),NA())))))</f>
        <v>69.339343196594172</v>
      </c>
      <c r="F135" s="51">
        <f>IF(F27&lt;&gt;"",NA(),IF(F25="u",((1/2)*(LN((1-E25)/E25))^-1*(D27-E26)/(D135*(1-D135))+((1-2*E25)*(LN((1-E25)/E25)))^-1*(1-2*(F26-E26)/(D27-E26))*(D27-E26)*((D135-0.5)/(D135*(1-D135))+LN(D135/(1-D135))))^(-1),IF(F25="sl",((1/2)*(LN((1-E25)/E25))^-1*LN((D27-D26)/(E26-D26))/(D135*(1-D135))+((1-2*E25)*(LN((1-E25)/E25)))^-1*LN(((D27-D26)*(E26-D26))/(F26-D26)^2)*((D135-0.5)/(D135*(1-D135))+LN(D135/(1-D135))))^(-1)*EXP(-(LN(F26-D26)+(1/2)*(LN((1-E25)/E25))^-1*LN((D27-D26)/(E26-D26))*LN(D135/(1-D135))+((1-2*E25)*(LN((1-E25)/E25)))^-1*LN(((D27-D26)*(E26-D26))/(F26-D26)^2)*(D135-0.5)*LN(D135/(1-D135)))),IF(F25="su",(-(1/2)*(LN((1-E25)/E25))^-1*LN((E27-D27)/(E27-E26))/(D135*(1-D135))-((1-2*E25)*(LN((1-E25)/E25)))^-1*LN(((E27-D27)*(E27-E26))/(E27-F26)^2)*((D135-0.5)/(D135*(1-D135))+LN(D135/(1-D135))))^(-1)*EXP((-LN(E27-F26)-(1/2)*(LN((1-E25)/E25))^-1*LN((E27-D27)/(E27-E26))*LN(D135/(1-D135))-((1-2*E25)*(LN((1-E25)/E25)))^-1*LN(((E27-D27)*(E27-E26))/(E27-F26)^2)*(D135-0.5)*LN(D135/(1-D135)))),IF(F25="b",((1/2)*(LN((1-E25)/E25))^-1*LN(((D27-D26)/(E27-D27))/((E26-D26)/(E27-E26)))/(D135*(1-D135))+((1-2*E25)*(LN((1-E25)/E25)))^-1*LN((((D27-D26)/(E27-D27))*((E26-D26)/(E27-E26)))/((F26-D26)/(E27-F26))^2)*((D135-0.5)/(D135*(1-D135))+LN(D135/(1-D135))))^(-1)*(1+EXP(LN((F26-D26)/(E27-F26))+(1/2)*(LN((1-E25)/E25))^-1*LN(((D27-D26)/(E27-D27))/((E26-D26)/(E27-E26)))*LN(D135/(1-D135))+((1-2*E25)*(LN((1-E25)/E25)))^-1*LN((((D27-D26)/(E27-D27))*((E26-D26)/(E27-E26)))/((F26-D26)/(E27-F26))^2)*(D135-0.5)*LN(D135/(1-D135))))^2/((E27-D26)*EXP(LN((F26-D26)/(E27-F26))+(1/2)*(LN((1-E25)/E25))^-1*LN(((D27-D26)/(E27-D27))/((E26-D26)/(E27-E26)))*LN(D135/(1-D135))+((1-2*E25)*(LN((1-E25)/E25)))^-1*LN((((D27-D26)/(E27-D27))*((E26-D26)/(E27-E26)))/((F26-D26)/(E27-F26))^2)*(D135-0.5)*LN(D135/(1-D135)))),NA())))))</f>
        <v>3.8127780530524576E-3</v>
      </c>
      <c r="H135" s="71">
        <v>99</v>
      </c>
      <c r="I135" s="68">
        <f t="shared" si="7"/>
        <v>116.20488563337045</v>
      </c>
      <c r="J135" s="69">
        <f t="shared" si="10"/>
        <v>105</v>
      </c>
      <c r="K135" s="70">
        <f t="shared" si="11"/>
        <v>9.9277141327045056E-5</v>
      </c>
      <c r="M135"/>
    </row>
    <row r="136" spans="4:13" x14ac:dyDescent="0.35">
      <c r="D136" s="49">
        <f>IF(F27&lt;&gt;"",NA(),(ROW()-ROW(D40))/100)</f>
        <v>0.96</v>
      </c>
      <c r="E136" s="50">
        <f>IF(F27&lt;&gt;"",NA(),IF(F25="u",F26+(1/2)*(LN((1-E25)/E25))^-1*(D27-E26)*LN(D136/(1-D136))+((1-2*E25)*(LN((1-E25)/E25)))^-1*(1-2*(F26-E26)/(D27-E26))*(D27-E26)*(D136-0.5)*LN(D136/(1-D136)),IF(F25="sl",D26+EXP(LN(F26-D26)+(1/2)*(LN((1-E25)/E25))^-1*LN((D27-D26)/(E26-D26))*LN(D136/(1-D136))+((1-2*E25)*(LN((1-E25)/E25)))^-1*LN(((D27-D26)*(E26-D26))/(F26-D26)^2)*(D136-0.5)*LN(D136/(1-D136))),IF(F25="su",E27-EXP(-(-LN(E27-F26)-(1/2)*(LN((1-E25)/E25))^-1*LN((E27-D27)/(E27-E26))*LN(D136/(1-D136))-((1-2*E25)*(LN((1-E25)/E25)))^-1*LN(((E27-D27)*(E27-E26))/(E27-F26)^2)*(D136-0.5)*LN(D136/(1-D136)))),IF(F25="b",(D26+E27*EXP(LN((F26-D26)/(E27-F26))+(1/2)*(LN((1-E25)/E25))^-1*LN(((D27-D26)/(E27-D27))/((E26-D26)/(E27-E26)))*LN(D136/(1-D136))+((1-2*E25)*(LN((1-E25)/E25)))^-1*LN((((D27-D26)/(E27-D27))*((E26-D26)/(E27-E26)))/((F26-D26)/(E27-F26))^2)*(D136-0.5)*LN(D136/(1-D136))))/(1+EXP(LN((F26-D26)/(E27-F26))+(1/2)*(LN((1-E25)/E25))^-1*LN(((D27-D26)/(E27-D27))/((E26-D26)/(E27-E26)))*LN(D136/(1-D136))+((1-2*E25)*(LN((1-E25)/E25)))^-1*LN((((D27-D26)/(E27-D27))*((E26-D26)/(E27-E26)))/((F26-D26)/(E27-F26))^2)*(D136-0.5)*LN(D136/(1-D136)))),NA())))))</f>
        <v>72.244661731697533</v>
      </c>
      <c r="F136" s="51">
        <f>IF(F27&lt;&gt;"",NA(),IF(F25="u",((1/2)*(LN((1-E25)/E25))^-1*(D27-E26)/(D136*(1-D136))+((1-2*E25)*(LN((1-E25)/E25)))^-1*(1-2*(F26-E26)/(D27-E26))*(D27-E26)*((D136-0.5)/(D136*(1-D136))+LN(D136/(1-D136))))^(-1),IF(F25="sl",((1/2)*(LN((1-E25)/E25))^-1*LN((D27-D26)/(E26-D26))/(D136*(1-D136))+((1-2*E25)*(LN((1-E25)/E25)))^-1*LN(((D27-D26)*(E26-D26))/(F26-D26)^2)*((D136-0.5)/(D136*(1-D136))+LN(D136/(1-D136))))^(-1)*EXP(-(LN(F26-D26)+(1/2)*(LN((1-E25)/E25))^-1*LN((D27-D26)/(E26-D26))*LN(D136/(1-D136))+((1-2*E25)*(LN((1-E25)/E25)))^-1*LN(((D27-D26)*(E26-D26))/(F26-D26)^2)*(D136-0.5)*LN(D136/(1-D136)))),IF(F25="su",(-(1/2)*(LN((1-E25)/E25))^-1*LN((E27-D27)/(E27-E26))/(D136*(1-D136))-((1-2*E25)*(LN((1-E25)/E25)))^-1*LN(((E27-D27)*(E27-E26))/(E27-F26)^2)*((D136-0.5)/(D136*(1-D136))+LN(D136/(1-D136))))^(-1)*EXP((-LN(E27-F26)-(1/2)*(LN((1-E25)/E25))^-1*LN((E27-D27)/(E27-E26))*LN(D136/(1-D136))-((1-2*E25)*(LN((1-E25)/E25)))^-1*LN(((E27-D27)*(E27-E26))/(E27-F26)^2)*(D136-0.5)*LN(D136/(1-D136)))),IF(F25="b",((1/2)*(LN((1-E25)/E25))^-1*LN(((D27-D26)/(E27-D27))/((E26-D26)/(E27-E26)))/(D136*(1-D136))+((1-2*E25)*(LN((1-E25)/E25)))^-1*LN((((D27-D26)/(E27-D27))*((E26-D26)/(E27-E26)))/((F26-D26)/(E27-F26))^2)*((D136-0.5)/(D136*(1-D136))+LN(D136/(1-D136))))^(-1)*(1+EXP(LN((F26-D26)/(E27-F26))+(1/2)*(LN((1-E25)/E25))^-1*LN(((D27-D26)/(E27-D27))/((E26-D26)/(E27-E26)))*LN(D136/(1-D136))+((1-2*E25)*(LN((1-E25)/E25)))^-1*LN((((D27-D26)/(E27-D27))*((E26-D26)/(E27-E26)))/((F26-D26)/(E27-F26))^2)*(D136-0.5)*LN(D136/(1-D136))))^2/((E27-D26)*EXP(LN((F26-D26)/(E27-F26))+(1/2)*(LN((1-E25)/E25))^-1*LN(((D27-D26)/(E27-D27))/((E26-D26)/(E27-E26)))*LN(D136/(1-D136))+((1-2*E25)*(LN((1-E25)/E25)))^-1*LN((((D27-D26)/(E27-D27))*((E26-D26)/(E27-E26)))/((F26-D26)/(E27-F26))^2)*(D136-0.5)*LN(D136/(1-D136)))),NA())))))</f>
        <v>3.0933815858209253E-3</v>
      </c>
      <c r="H136" s="71">
        <v>100</v>
      </c>
      <c r="I136" s="68">
        <f t="shared" si="7"/>
        <v>117.47494606331354</v>
      </c>
      <c r="J136" s="69">
        <f t="shared" si="10"/>
        <v>106</v>
      </c>
      <c r="K136" s="70">
        <f>IF( ISNUMBER( E143 ), F143, F142 )</f>
        <v>8.3385821213431433E-5</v>
      </c>
      <c r="M136"/>
    </row>
    <row r="137" spans="4:13" x14ac:dyDescent="0.35">
      <c r="D137" s="49">
        <f>IF(F27&lt;&gt;"",NA(),(ROW()-ROW(D40))/100)</f>
        <v>0.97</v>
      </c>
      <c r="E137" s="50">
        <f>IF(F27&lt;&gt;"",NA(),IF(F25="u",F26+(1/2)*(LN((1-E25)/E25))^-1*(D27-E26)*LN(D137/(1-D137))+((1-2*E25)*(LN((1-E25)/E25)))^-1*(1-2*(F26-E26)/(D27-E26))*(D27-E26)*(D137-0.5)*LN(D137/(1-D137)),IF(F25="sl",D26+EXP(LN(F26-D26)+(1/2)*(LN((1-E25)/E25))^-1*LN((D27-D26)/(E26-D26))*LN(D137/(1-D137))+((1-2*E25)*(LN((1-E25)/E25)))^-1*LN(((D27-D26)*(E26-D26))/(F26-D26)^2)*(D137-0.5)*LN(D137/(1-D137))),IF(F25="su",E27-EXP(-(-LN(E27-F26)-(1/2)*(LN((1-E25)/E25))^-1*LN((E27-D27)/(E27-E26))*LN(D137/(1-D137))-((1-2*E25)*(LN((1-E25)/E25)))^-1*LN(((E27-D27)*(E27-E26))/(E27-F26)^2)*(D137-0.5)*LN(D137/(1-D137)))),IF(F25="b",(D26+E27*EXP(LN((F26-D26)/(E27-F26))+(1/2)*(LN((1-E25)/E25))^-1*LN(((D27-D26)/(E27-D27))/((E26-D26)/(E27-E26)))*LN(D137/(1-D137))+((1-2*E25)*(LN((1-E25)/E25)))^-1*LN((((D27-D26)/(E27-D27))*((E26-D26)/(E27-E26)))/((F26-D26)/(E27-F26))^2)*(D137-0.5)*LN(D137/(1-D137))))/(1+EXP(LN((F26-D26)/(E27-F26))+(1/2)*(LN((1-E25)/E25))^-1*LN(((D27-D26)/(E27-D27))/((E26-D26)/(E27-E26)))*LN(D137/(1-D137))+((1-2*E25)*(LN((1-E25)/E25)))^-1*LN((((D27-D26)/(E27-D27))*((E26-D26)/(E27-E26)))/((F26-D26)/(E27-F26))^2)*(D137-0.5)*LN(D137/(1-D137)))),NA())))))</f>
        <v>75.93530289404022</v>
      </c>
      <c r="F137" s="51">
        <f>IF(F27&lt;&gt;"",NA(),IF(F25="u",((1/2)*(LN((1-E25)/E25))^-1*(D27-E26)/(D137*(1-D137))+((1-2*E25)*(LN((1-E25)/E25)))^-1*(1-2*(F26-E26)/(D27-E26))*(D27-E26)*((D137-0.5)/(D137*(1-D137))+LN(D137/(1-D137))))^(-1),IF(F25="sl",((1/2)*(LN((1-E25)/E25))^-1*LN((D27-D26)/(E26-D26))/(D137*(1-D137))+((1-2*E25)*(LN((1-E25)/E25)))^-1*LN(((D27-D26)*(E26-D26))/(F26-D26)^2)*((D137-0.5)/(D137*(1-D137))+LN(D137/(1-D137))))^(-1)*EXP(-(LN(F26-D26)+(1/2)*(LN((1-E25)/E25))^-1*LN((D27-D26)/(E26-D26))*LN(D137/(1-D137))+((1-2*E25)*(LN((1-E25)/E25)))^-1*LN(((D27-D26)*(E26-D26))/(F26-D26)^2)*(D137-0.5)*LN(D137/(1-D137)))),IF(F25="su",(-(1/2)*(LN((1-E25)/E25))^-1*LN((E27-D27)/(E27-E26))/(D137*(1-D137))-((1-2*E25)*(LN((1-E25)/E25)))^-1*LN(((E27-D27)*(E27-E26))/(E27-F26)^2)*((D137-0.5)/(D137*(1-D137))+LN(D137/(1-D137))))^(-1)*EXP((-LN(E27-F26)-(1/2)*(LN((1-E25)/E25))^-1*LN((E27-D27)/(E27-E26))*LN(D137/(1-D137))-((1-2*E25)*(LN((1-E25)/E25)))^-1*LN(((E27-D27)*(E27-E26))/(E27-F26)^2)*(D137-0.5)*LN(D137/(1-D137)))),IF(F25="b",((1/2)*(LN((1-E25)/E25))^-1*LN(((D27-D26)/(E27-D27))/((E26-D26)/(E27-E26)))/(D137*(1-D137))+((1-2*E25)*(LN((1-E25)/E25)))^-1*LN((((D27-D26)/(E27-D27))*((E26-D26)/(E27-E26)))/((F26-D26)/(E27-F26))^2)*((D137-0.5)/(D137*(1-D137))+LN(D137/(1-D137))))^(-1)*(1+EXP(LN((F26-D26)/(E27-F26))+(1/2)*(LN((1-E25)/E25))^-1*LN(((D27-D26)/(E27-D27))/((E26-D26)/(E27-E26)))*LN(D137/(1-D137))+((1-2*E25)*(LN((1-E25)/E25)))^-1*LN((((D27-D26)/(E27-D27))*((E26-D26)/(E27-E26)))/((F26-D26)/(E27-F26))^2)*(D137-0.5)*LN(D137/(1-D137))))^2/((E27-D26)*EXP(LN((F26-D26)/(E27-F26))+(1/2)*(LN((1-E25)/E25))^-1*LN(((D27-D26)/(E27-D27))/((E26-D26)/(E27-E26)))*LN(D137/(1-D137))+((1-2*E25)*(LN((1-E25)/E25)))^-1*LN((((D27-D26)/(E27-D27))*((E26-D26)/(E27-E26)))/((F26-D26)/(E27-F26))^2)*(D137-0.5)*LN(D137/(1-D137)))),NA())))))</f>
        <v>2.3559534258394705E-3</v>
      </c>
      <c r="H137" s="71">
        <v>101</v>
      </c>
      <c r="I137" s="72"/>
      <c r="J137" s="73"/>
      <c r="K137" s="74"/>
      <c r="M137"/>
    </row>
    <row r="138" spans="4:13" x14ac:dyDescent="0.35">
      <c r="D138" s="49">
        <f>IF(F27&lt;&gt;"",NA(),(ROW()-ROW(D40))/100)</f>
        <v>0.98</v>
      </c>
      <c r="E138" s="50">
        <f>IF(F27&lt;&gt;"",NA(),IF(F25="u",F26+(1/2)*(LN((1-E25)/E25))^-1*(D27-E26)*LN(D138/(1-D138))+((1-2*E25)*(LN((1-E25)/E25)))^-1*(1-2*(F26-E26)/(D27-E26))*(D27-E26)*(D138-0.5)*LN(D138/(1-D138)),IF(F25="sl",D26+EXP(LN(F26-D26)+(1/2)*(LN((1-E25)/E25))^-1*LN((D27-D26)/(E26-D26))*LN(D138/(1-D138))+((1-2*E25)*(LN((1-E25)/E25)))^-1*LN(((D27-D26)*(E26-D26))/(F26-D26)^2)*(D138-0.5)*LN(D138/(1-D138))),IF(F25="su",E27-EXP(-(-LN(E27-F26)-(1/2)*(LN((1-E25)/E25))^-1*LN((E27-D27)/(E27-E26))*LN(D138/(1-D138))-((1-2*E25)*(LN((1-E25)/E25)))^-1*LN(((E27-D27)*(E27-E26))/(E27-F26)^2)*(D138-0.5)*LN(D138/(1-D138)))),IF(F25="b",(D26+E27*EXP(LN((F26-D26)/(E27-F26))+(1/2)*(LN((1-E25)/E25))^-1*LN(((D27-D26)/(E27-D27))/((E26-D26)/(E27-E26)))*LN(D138/(1-D138))+((1-2*E25)*(LN((1-E25)/E25)))^-1*LN((((D27-D26)/(E27-D27))*((E26-D26)/(E27-E26)))/((F26-D26)/(E27-F26))^2)*(D138-0.5)*LN(D138/(1-D138))))/(1+EXP(LN((F26-D26)/(E27-F26))+(1/2)*(LN((1-E25)/E25))^-1*LN(((D27-D26)/(E27-D27))/((E26-D26)/(E27-E26)))*LN(D138/(1-D138))+((1-2*E25)*(LN((1-E25)/E25)))^-1*LN((((D27-D26)/(E27-D27))*((E26-D26)/(E27-E26)))/((F26-D26)/(E27-F26))^2)*(D138-0.5)*LN(D138/(1-D138)))),NA())))))</f>
        <v>81.052337478196947</v>
      </c>
      <c r="F138" s="51">
        <f>IF(F27&lt;&gt;"",NA(),IF(F25="u",((1/2)*(LN((1-E25)/E25))^-1*(D27-E26)/(D138*(1-D138))+((1-2*E25)*(LN((1-E25)/E25)))^-1*(1-2*(F26-E26)/(D27-E26))*(D27-E26)*((D138-0.5)/(D138*(1-D138))+LN(D138/(1-D138))))^(-1),IF(F25="sl",((1/2)*(LN((1-E25)/E25))^-1*LN((D27-D26)/(E26-D26))/(D138*(1-D138))+((1-2*E25)*(LN((1-E25)/E25)))^-1*LN(((D27-D26)*(E26-D26))/(F26-D26)^2)*((D138-0.5)/(D138*(1-D138))+LN(D138/(1-D138))))^(-1)*EXP(-(LN(F26-D26)+(1/2)*(LN((1-E25)/E25))^-1*LN((D27-D26)/(E26-D26))*LN(D138/(1-D138))+((1-2*E25)*(LN((1-E25)/E25)))^-1*LN(((D27-D26)*(E26-D26))/(F26-D26)^2)*(D138-0.5)*LN(D138/(1-D138)))),IF(F25="su",(-(1/2)*(LN((1-E25)/E25))^-1*LN((E27-D27)/(E27-E26))/(D138*(1-D138))-((1-2*E25)*(LN((1-E25)/E25)))^-1*LN(((E27-D27)*(E27-E26))/(E27-F26)^2)*((D138-0.5)/(D138*(1-D138))+LN(D138/(1-D138))))^(-1)*EXP((-LN(E27-F26)-(1/2)*(LN((1-E25)/E25))^-1*LN((E27-D27)/(E27-E26))*LN(D138/(1-D138))-((1-2*E25)*(LN((1-E25)/E25)))^-1*LN(((E27-D27)*(E27-E26))/(E27-F26)^2)*(D138-0.5)*LN(D138/(1-D138)))),IF(F25="b",((1/2)*(LN((1-E25)/E25))^-1*LN(((D27-D26)/(E27-D27))/((E26-D26)/(E27-E26)))/(D138*(1-D138))+((1-2*E25)*(LN((1-E25)/E25)))^-1*LN((((D27-D26)/(E27-D27))*((E26-D26)/(E27-E26)))/((F26-D26)/(E27-F26))^2)*((D138-0.5)/(D138*(1-D138))+LN(D138/(1-D138))))^(-1)*(1+EXP(LN((F26-D26)/(E27-F26))+(1/2)*(LN((1-E25)/E25))^-1*LN(((D27-D26)/(E27-D27))/((E26-D26)/(E27-E26)))*LN(D138/(1-D138))+((1-2*E25)*(LN((1-E25)/E25)))^-1*LN((((D27-D26)/(E27-D27))*((E26-D26)/(E27-E26)))/((F26-D26)/(E27-F26))^2)*(D138-0.5)*LN(D138/(1-D138))))^2/((E27-D26)*EXP(LN((F26-D26)/(E27-F26))+(1/2)*(LN((1-E25)/E25))^-1*LN(((D27-D26)/(E27-D27))/((E26-D26)/(E27-E26)))*LN(D138/(1-D138))+((1-2*E25)*(LN((1-E25)/E25)))^-1*LN((((D27-D26)/(E27-D27))*((E26-D26)/(E27-E26)))/((F26-D26)/(E27-F26))^2)*(D138-0.5)*LN(D138/(1-D138)))),NA())))))</f>
        <v>1.5977742463860927E-3</v>
      </c>
      <c r="H138" s="71">
        <v>102</v>
      </c>
      <c r="I138" s="75"/>
      <c r="J138" s="76"/>
      <c r="K138" s="77"/>
      <c r="M138"/>
    </row>
    <row r="139" spans="4:13" x14ac:dyDescent="0.35">
      <c r="D139" s="49">
        <f>IF(F27&lt;&gt;"",NA(),(ROW()-ROW(D40))/100)</f>
        <v>0.99</v>
      </c>
      <c r="E139" s="50">
        <f>IF(F27&lt;&gt;"",NA(),IF(F25="u",F26+(1/2)*(LN((1-E25)/E25))^-1*(D27-E26)*LN(D139/(1-D139))+((1-2*E25)*(LN((1-E25)/E25)))^-1*(1-2*(F26-E26)/(D27-E26))*(D27-E26)*(D139-0.5)*LN(D139/(1-D139)),IF(F25="sl",D26+EXP(LN(F26-D26)+(1/2)*(LN((1-E25)/E25))^-1*LN((D27-D26)/(E26-D26))*LN(D139/(1-D139))+((1-2*E25)*(LN((1-E25)/E25)))^-1*LN(((D27-D26)*(E26-D26))/(F26-D26)^2)*(D139-0.5)*LN(D139/(1-D139))),IF(F25="su",E27-EXP(-(-LN(E27-F26)-(1/2)*(LN((1-E25)/E25))^-1*LN((E27-D27)/(E27-E26))*LN(D139/(1-D139))-((1-2*E25)*(LN((1-E25)/E25)))^-1*LN(((E27-D27)*(E27-E26))/(E27-F26)^2)*(D139-0.5)*LN(D139/(1-D139)))),IF(F25="b",(D26+E27*EXP(LN((F26-D26)/(E27-F26))+(1/2)*(LN((1-E25)/E25))^-1*LN(((D27-D26)/(E27-D27))/((E26-D26)/(E27-E26)))*LN(D139/(1-D139))+((1-2*E25)*(LN((1-E25)/E25)))^-1*LN((((D27-D26)/(E27-D27))*((E26-D26)/(E27-E26)))/((F26-D26)/(E27-F26))^2)*(D139-0.5)*LN(D139/(1-D139))))/(1+EXP(LN((F26-D26)/(E27-F26))+(1/2)*(LN((1-E25)/E25))^-1*LN(((D27-D26)/(E27-D27))/((E26-D26)/(E27-E26)))*LN(D139/(1-D139))+((1-2*E25)*(LN((1-E25)/E25)))^-1*LN((((D27-D26)/(E27-D27))*((E26-D26)/(E27-E26)))/((F26-D26)/(E27-F26))^2)*(D139-0.5)*LN(D139/(1-D139)))),NA())))))</f>
        <v>89.635974548539039</v>
      </c>
      <c r="F139" s="51">
        <f>IF(F27&lt;&gt;"",NA(),IF(F25="u",((1/2)*(LN((1-E25)/E25))^-1*(D27-E26)/(D139*(1-D139))+((1-2*E25)*(LN((1-E25)/E25)))^-1*(1-2*(F26-E26)/(D27-E26))*(D27-E26)*((D139-0.5)/(D139*(1-D139))+LN(D139/(1-D139))))^(-1),IF(F25="sl",((1/2)*(LN((1-E25)/E25))^-1*LN((D27-D26)/(E26-D26))/(D139*(1-D139))+((1-2*E25)*(LN((1-E25)/E25)))^-1*LN(((D27-D26)*(E26-D26))/(F26-D26)^2)*((D139-0.5)/(D139*(1-D139))+LN(D139/(1-D139))))^(-1)*EXP(-(LN(F26-D26)+(1/2)*(LN((1-E25)/E25))^-1*LN((D27-D26)/(E26-D26))*LN(D139/(1-D139))+((1-2*E25)*(LN((1-E25)/E25)))^-1*LN(((D27-D26)*(E26-D26))/(F26-D26)^2)*(D139-0.5)*LN(D139/(1-D139)))),IF(F25="su",(-(1/2)*(LN((1-E25)/E25))^-1*LN((E27-D27)/(E27-E26))/(D139*(1-D139))-((1-2*E25)*(LN((1-E25)/E25)))^-1*LN(((E27-D27)*(E27-E26))/(E27-F26)^2)*((D139-0.5)/(D139*(1-D139))+LN(D139/(1-D139))))^(-1)*EXP((-LN(E27-F26)-(1/2)*(LN((1-E25)/E25))^-1*LN((E27-D27)/(E27-E26))*LN(D139/(1-D139))-((1-2*E25)*(LN((1-E25)/E25)))^-1*LN(((E27-D27)*(E27-E26))/(E27-F26)^2)*(D139-0.5)*LN(D139/(1-D139)))),IF(F25="b",((1/2)*(LN((1-E25)/E25))^-1*LN(((D27-D26)/(E27-D27))/((E26-D26)/(E27-E26)))/(D139*(1-D139))+((1-2*E25)*(LN((1-E25)/E25)))^-1*LN((((D27-D26)/(E27-D27))*((E26-D26)/(E27-E26)))/((F26-D26)/(E27-F26))^2)*((D139-0.5)/(D139*(1-D139))+LN(D139/(1-D139))))^(-1)*(1+EXP(LN((F26-D26)/(E27-F26))+(1/2)*(LN((1-E25)/E25))^-1*LN(((D27-D26)/(E27-D27))/((E26-D26)/(E27-E26)))*LN(D139/(1-D139))+((1-2*E25)*(LN((1-E25)/E25)))^-1*LN((((D27-D26)/(E27-D27))*((E26-D26)/(E27-E26)))/((F26-D26)/(E27-F26))^2)*(D139-0.5)*LN(D139/(1-D139))))^2/((E27-D26)*EXP(LN((F26-D26)/(E27-F26))+(1/2)*(LN((1-E25)/E25))^-1*LN(((D27-D26)/(E27-D27))/((E26-D26)/(E27-E26)))*LN(D139/(1-D139))+((1-2*E25)*(LN((1-E25)/E25)))^-1*LN((((D27-D26)/(E27-D27))*((E26-D26)/(E27-E26)))/((F26-D26)/(E27-F26))^2)*(D139-0.5)*LN(D139/(1-D139)))),NA())))))</f>
        <v>8.1489517202902877E-4</v>
      </c>
      <c r="H139" s="71">
        <v>103</v>
      </c>
      <c r="I139" s="75"/>
      <c r="J139" s="76"/>
      <c r="K139" s="77"/>
      <c r="M139"/>
    </row>
    <row r="140" spans="4:13" x14ac:dyDescent="0.35">
      <c r="D140" s="49">
        <f>IF(F27&lt;&gt;"",NA(),0.994)</f>
        <v>0.99399999999999999</v>
      </c>
      <c r="E140" s="50">
        <f>IF(F27&lt;&gt;"",NA(),IF(F25="u",F26+(1/2)*(LN((1-E25)/E25))^-1*(D27-E26)*LN(D140/(1-D140))+((1-2*E25)*(LN((1-E25)/E25)))^-1*(1-2*(F26-E26)/(D27-E26))*(D27-E26)*(D140-0.5)*LN(D140/(1-D140)),IF(F25="sl",D26+EXP(LN(F26-D26)+(1/2)*(LN((1-E25)/E25))^-1*LN((D27-D26)/(E26-D26))*LN(D140/(1-D140))+((1-2*E25)*(LN((1-E25)/E25)))^-1*LN(((D27-D26)*(E26-D26))/(F26-D26)^2)*(D140-0.5)*LN(D140/(1-D140))),IF(F25="su",E27-EXP(-(-LN(E27-F26)-(1/2)*(LN((1-E25)/E25))^-1*LN((E27-D27)/(E27-E26))*LN(D140/(1-D140))-((1-2*E25)*(LN((1-E25)/E25)))^-1*LN(((E27-D27)*(E27-E26))/(E27-F26)^2)*(D140-0.5)*LN(D140/(1-D140)))),IF(F25="b",(D26+E27*EXP(LN((F26-D26)/(E27-F26))+(1/2)*(LN((1-E25)/E25))^-1*LN(((D27-D26)/(E27-D27))/((E26-D26)/(E27-E26)))*LN(D140/(1-D140))+((1-2*E25)*(LN((1-E25)/E25)))^-1*LN((((D27-D26)/(E27-D27))*((E26-D26)/(E27-E26)))/((F26-D26)/(E27-F26))^2)*(D140-0.5)*LN(D140/(1-D140))))/(1+EXP(LN((F26-D26)/(E27-F26))+(1/2)*(LN((1-E25)/E25))^-1*LN(((D27-D26)/(E27-D27))/((E26-D26)/(E27-E26)))*LN(D140/(1-D140))+((1-2*E25)*(LN((1-E25)/E25)))^-1*LN((((D27-D26)/(E27-D27))*((E26-D26)/(E27-E26)))/((F26-D26)/(E27-F26))^2)*(D140-0.5)*LN(D140/(1-D140)))),NA())))))</f>
        <v>95.873917330447028</v>
      </c>
      <c r="F140" s="51">
        <f>IF(F27&lt;&gt;"",NA(),IF(F25="u",((1/2)*(LN((1-E25)/E25))^-1*(D27-E26)/(D140*(1-D140))+((1-2*E25)*(LN((1-E25)/E25)))^-1*(1-2*(F26-E26)/(D27-E26))*(D27-E26)*((D140-0.5)/(D140*(1-D140))+LN(D140/(1-D140))))^(-1),IF(F25="sl",((1/2)*(LN((1-E25)/E25))^-1*LN((D27-D26)/(E26-D26))/(D140*(1-D140))+((1-2*E25)*(LN((1-E25)/E25)))^-1*LN(((D27-D26)*(E26-D26))/(F26-D26)^2)*((D140-0.5)/(D140*(1-D140))+LN(D140/(1-D140))))^(-1)*EXP(-(LN(F26-D26)+(1/2)*(LN((1-E25)/E25))^-1*LN((D27-D26)/(E26-D26))*LN(D140/(1-D140))+((1-2*E25)*(LN((1-E25)/E25)))^-1*LN(((D27-D26)*(E26-D26))/(F26-D26)^2)*(D140-0.5)*LN(D140/(1-D140)))),IF(F25="su",(-(1/2)*(LN((1-E25)/E25))^-1*LN((E27-D27)/(E27-E26))/(D140*(1-D140))-((1-2*E25)*(LN((1-E25)/E25)))^-1*LN(((E27-D27)*(E27-E26))/(E27-F26)^2)*((D140-0.5)/(D140*(1-D140))+LN(D140/(1-D140))))^(-1)*EXP((-LN(E27-F26)-(1/2)*(LN((1-E25)/E25))^-1*LN((E27-D27)/(E27-E26))*LN(D140/(1-D140))-((1-2*E25)*(LN((1-E25)/E25)))^-1*LN(((E27-D27)*(E27-E26))/(E27-F26)^2)*(D140-0.5)*LN(D140/(1-D140)))),IF(F25="b",((1/2)*(LN((1-E25)/E25))^-1*LN(((D27-D26)/(E27-D27))/((E26-D26)/(E27-E26)))/(D140*(1-D140))+((1-2*E25)*(LN((1-E25)/E25)))^-1*LN((((D27-D26)/(E27-D27))*((E26-D26)/(E27-E26)))/((F26-D26)/(E27-F26))^2)*((D140-0.5)/(D140*(1-D140))+LN(D140/(1-D140))))^(-1)*(1+EXP(LN((F26-D26)/(E27-F26))+(1/2)*(LN((1-E25)/E25))^-1*LN(((D27-D26)/(E27-D27))/((E26-D26)/(E27-E26)))*LN(D140/(1-D140))+((1-2*E25)*(LN((1-E25)/E25)))^-1*LN((((D27-D26)/(E27-D27))*((E26-D26)/(E27-E26)))/((F26-D26)/(E27-F26))^2)*(D140-0.5)*LN(D140/(1-D140))))^2/((E27-D26)*EXP(LN((F26-D26)/(E27-F26))+(1/2)*(LN((1-E25)/E25))^-1*LN(((D27-D26)/(E27-D27))/((E26-D26)/(E27-E26)))*LN(D140/(1-D140))+((1-2*E25)*(LN((1-E25)/E25)))^-1*LN((((D27-D26)/(E27-D27))*((E26-D26)/(E27-E26)))/((F26-D26)/(E27-F26))^2)*(D140-0.5)*LN(D140/(1-D140)))),NA())))))</f>
        <v>4.9345807442339931E-4</v>
      </c>
      <c r="H140" s="71">
        <v>104</v>
      </c>
      <c r="I140" s="75"/>
      <c r="J140" s="76"/>
      <c r="K140" s="77"/>
      <c r="M140"/>
    </row>
    <row r="141" spans="4:13" x14ac:dyDescent="0.35">
      <c r="D141" s="49">
        <f>IF(F27&lt;&gt;"",NA(),0.997)</f>
        <v>0.997</v>
      </c>
      <c r="E141" s="50">
        <f>IF(F27&lt;&gt;"",NA(),IF(F25="u",F26+(1/2)*(LN((1-E25)/E25))^-1*(D27-E26)*LN(D141/(1-D141))+((1-2*E25)*(LN((1-E25)/E25)))^-1*(1-2*(F26-E26)/(D27-E26))*(D27-E26)*(D141-0.5)*LN(D141/(1-D141)),IF(F25="sl",D26+EXP(LN(F26-D26)+(1/2)*(LN((1-E25)/E25))^-1*LN((D27-D26)/(E26-D26))*LN(D141/(1-D141))+((1-2*E25)*(LN((1-E25)/E25)))^-1*LN(((D27-D26)*(E26-D26))/(F26-D26)^2)*(D141-0.5)*LN(D141/(1-D141))),IF(F25="su",E27-EXP(-(-LN(E27-F26)-(1/2)*(LN((1-E25)/E25))^-1*LN((E27-D27)/(E27-E26))*LN(D141/(1-D141))-((1-2*E25)*(LN((1-E25)/E25)))^-1*LN(((E27-D27)*(E27-E26))/(E27-F26)^2)*(D141-0.5)*LN(D141/(1-D141)))),IF(F25="b",(D26+E27*EXP(LN((F26-D26)/(E27-F26))+(1/2)*(LN((1-E25)/E25))^-1*LN(((D27-D26)/(E27-D27))/((E26-D26)/(E27-E26)))*LN(D141/(1-D141))+((1-2*E25)*(LN((1-E25)/E25)))^-1*LN((((D27-D26)/(E27-D27))*((E26-D26)/(E27-E26)))/((F26-D26)/(E27-F26))^2)*(D141-0.5)*LN(D141/(1-D141))))/(1+EXP(LN((F26-D26)/(E27-F26))+(1/2)*(LN((1-E25)/E25))^-1*LN(((D27-D26)/(E27-D27))/((E26-D26)/(E27-E26)))*LN(D141/(1-D141))+((1-2*E25)*(LN((1-E25)/E25)))^-1*LN((((D27-D26)/(E27-D27))*((E26-D26)/(E27-E26)))/((F26-D26)/(E27-F26))^2)*(D141-0.5)*LN(D141/(1-D141)))),NA())))))</f>
        <v>104.26620360556032</v>
      </c>
      <c r="F141" s="51">
        <f>IF(F27&lt;&gt;"",NA(),IF(F25="u",((1/2)*(LN((1-E25)/E25))^-1*(D27-E26)/(D141*(1-D141))+((1-2*E25)*(LN((1-E25)/E25)))^-1*(1-2*(F26-E26)/(D27-E26))*(D27-E26)*((D141-0.5)/(D141*(1-D141))+LN(D141/(1-D141))))^(-1),IF(F25="sl",((1/2)*(LN((1-E25)/E25))^-1*LN((D27-D26)/(E26-D26))/(D141*(1-D141))+((1-2*E25)*(LN((1-E25)/E25)))^-1*LN(((D27-D26)*(E26-D26))/(F26-D26)^2)*((D141-0.5)/(D141*(1-D141))+LN(D141/(1-D141))))^(-1)*EXP(-(LN(F26-D26)+(1/2)*(LN((1-E25)/E25))^-1*LN((D27-D26)/(E26-D26))*LN(D141/(1-D141))+((1-2*E25)*(LN((1-E25)/E25)))^-1*LN(((D27-D26)*(E26-D26))/(F26-D26)^2)*(D141-0.5)*LN(D141/(1-D141)))),IF(F25="su",(-(1/2)*(LN((1-E25)/E25))^-1*LN((E27-D27)/(E27-E26))/(D141*(1-D141))-((1-2*E25)*(LN((1-E25)/E25)))^-1*LN(((E27-D27)*(E27-E26))/(E27-F26)^2)*((D141-0.5)/(D141*(1-D141))+LN(D141/(1-D141))))^(-1)*EXP((-LN(E27-F26)-(1/2)*(LN((1-E25)/E25))^-1*LN((E27-D27)/(E27-E26))*LN(D141/(1-D141))-((1-2*E25)*(LN((1-E25)/E25)))^-1*LN(((E27-D27)*(E27-E26))/(E27-F26)^2)*(D141-0.5)*LN(D141/(1-D141)))),IF(F25="b",((1/2)*(LN((1-E25)/E25))^-1*LN(((D27-D26)/(E27-D27))/((E26-D26)/(E27-E26)))/(D141*(1-D141))+((1-2*E25)*(LN((1-E25)/E25)))^-1*LN((((D27-D26)/(E27-D27))*((E26-D26)/(E27-E26)))/((F26-D26)/(E27-F26))^2)*((D141-0.5)/(D141*(1-D141))+LN(D141/(1-D141))))^(-1)*(1+EXP(LN((F26-D26)/(E27-F26))+(1/2)*(LN((1-E25)/E25))^-1*LN(((D27-D26)/(E27-D27))/((E26-D26)/(E27-E26)))*LN(D141/(1-D141))+((1-2*E25)*(LN((1-E25)/E25)))^-1*LN((((D27-D26)/(E27-D27))*((E26-D26)/(E27-E26)))/((F26-D26)/(E27-F26))^2)*(D141-0.5)*LN(D141/(1-D141))))^2/((E27-D26)*EXP(LN((F26-D26)/(E27-F26))+(1/2)*(LN((1-E25)/E25))^-1*LN(((D27-D26)/(E27-D27))/((E26-D26)/(E27-E26)))*LN(D141/(1-D141))+((1-2*E25)*(LN((1-E25)/E25)))^-1*LN((((D27-D26)/(E27-D27))*((E26-D26)/(E27-E26)))/((F26-D26)/(E27-F26))^2)*(D141-0.5)*LN(D141/(1-D141)))),NA())))))</f>
        <v>2.4865697662125331E-4</v>
      </c>
      <c r="H141" s="71">
        <v>105</v>
      </c>
      <c r="I141" s="75"/>
      <c r="J141" s="76"/>
      <c r="K141" s="77"/>
      <c r="M141"/>
    </row>
    <row r="142" spans="4:13" x14ac:dyDescent="0.35">
      <c r="D142" s="49">
        <f>IF(F27&lt;&gt;"",NA(),0.999)</f>
        <v>0.999</v>
      </c>
      <c r="E142" s="50">
        <f>IF(F27&lt;&gt;"",NA(),IF(F25="u",F26+(1/2)*(LN((1-E25)/E25))^-1*(D27-E26)*LN(D142/(1-D142))+((1-2*E25)*(LN((1-E25)/E25)))^-1*(1-2*(F26-E26)/(D27-E26))*(D27-E26)*(D142-0.5)*LN(D142/(1-D142)),IF(F25="sl",D26+EXP(LN(F26-D26)+(1/2)*(LN((1-E25)/E25))^-1*LN((D27-D26)/(E26-D26))*LN(D142/(1-D142))+((1-2*E25)*(LN((1-E25)/E25)))^-1*LN(((D27-D26)*(E26-D26))/(F26-D26)^2)*(D142-0.5)*LN(D142/(1-D142))),IF(F25="su",E27-EXP(-(-LN(E27-F26)-(1/2)*(LN((1-E25)/E25))^-1*LN((E27-D27)/(E27-E26))*LN(D142/(1-D142))-((1-2*E25)*(LN((1-E25)/E25)))^-1*LN(((E27-D27)*(E27-E26))/(E27-F26)^2)*(D142-0.5)*LN(D142/(1-D142)))),IF(F25="b",(D26+E27*EXP(LN((F26-D26)/(E27-F26))+(1/2)*(LN((1-E25)/E25))^-1*LN(((D27-D26)/(E27-D27))/((E26-D26)/(E27-E26)))*LN(D142/(1-D142))+((1-2*E25)*(LN((1-E25)/E25)))^-1*LN((((D27-D26)/(E27-D27))*((E26-D26)/(E27-E26)))/((F26-D26)/(E27-F26))^2)*(D142-0.5)*LN(D142/(1-D142))))/(1+EXP(LN((F26-D26)/(E27-F26))+(1/2)*(LN((1-E25)/E25))^-1*LN(((D27-D26)/(E27-D27))/((E26-D26)/(E27-E26)))*LN(D142/(1-D142))+((1-2*E25)*(LN((1-E25)/E25)))^-1*LN((((D27-D26)/(E27-D27))*((E26-D26)/(E27-E26)))/((F26-D26)/(E27-F26))^2)*(D142-0.5)*LN(D142/(1-D142)))),NA())))))</f>
        <v>117.47494606331345</v>
      </c>
      <c r="F142" s="51">
        <f>IF(F27&lt;&gt;"",NA(),IF(F25="u",((1/2)*(LN((1-E25)/E25))^-1*(D27-E26)/(D142*(1-D142))+((1-2*E25)*(LN((1-E25)/E25)))^-1*(1-2*(F26-E26)/(D27-E26))*(D27-E26)*((D142-0.5)/(D142*(1-D142))+LN(D142/(1-D142))))^(-1),IF(F25="sl",((1/2)*(LN((1-E25)/E25))^-1*LN((D27-D26)/(E26-D26))/(D142*(1-D142))+((1-2*E25)*(LN((1-E25)/E25)))^-1*LN(((D27-D26)*(E26-D26))/(F26-D26)^2)*((D142-0.5)/(D142*(1-D142))+LN(D142/(1-D142))))^(-1)*EXP(-(LN(F26-D26)+(1/2)*(LN((1-E25)/E25))^-1*LN((D27-D26)/(E26-D26))*LN(D142/(1-D142))+((1-2*E25)*(LN((1-E25)/E25)))^-1*LN(((D27-D26)*(E26-D26))/(F26-D26)^2)*(D142-0.5)*LN(D142/(1-D142)))),IF(F25="su",(-(1/2)*(LN((1-E25)/E25))^-1*LN((E27-D27)/(E27-E26))/(D142*(1-D142))-((1-2*E25)*(LN((1-E25)/E25)))^-1*LN(((E27-D27)*(E27-E26))/(E27-F26)^2)*((D142-0.5)/(D142*(1-D142))+LN(D142/(1-D142))))^(-1)*EXP((-LN(E27-F26)-(1/2)*(LN((1-E25)/E25))^-1*LN((E27-D27)/(E27-E26))*LN(D142/(1-D142))-((1-2*E25)*(LN((1-E25)/E25)))^-1*LN(((E27-D27)*(E27-E26))/(E27-F26)^2)*(D142-0.5)*LN(D142/(1-D142)))),IF(F25="b",((1/2)*(LN((1-E25)/E25))^-1*LN(((D27-D26)/(E27-D27))/((E26-D26)/(E27-E26)))/(D142*(1-D142))+((1-2*E25)*(LN((1-E25)/E25)))^-1*LN((((D27-D26)/(E27-D27))*((E26-D26)/(E27-E26)))/((F26-D26)/(E27-F26))^2)*((D142-0.5)/(D142*(1-D142))+LN(D142/(1-D142))))^(-1)*(1+EXP(LN((F26-D26)/(E27-F26))+(1/2)*(LN((1-E25)/E25))^-1*LN(((D27-D26)/(E27-D27))/((E26-D26)/(E27-E26)))*LN(D142/(1-D142))+((1-2*E25)*(LN((1-E25)/E25)))^-1*LN((((D27-D26)/(E27-D27))*((E26-D26)/(E27-E26)))/((F26-D26)/(E27-F26))^2)*(D142-0.5)*LN(D142/(1-D142))))^2/((E27-D26)*EXP(LN((F26-D26)/(E27-F26))+(1/2)*(LN((1-E25)/E25))^-1*LN(((D27-D26)/(E27-D27))/((E26-D26)/(E27-E26)))*LN(D142/(1-D142))+((1-2*E25)*(LN((1-E25)/E25)))^-1*LN((((D27-D26)/(E27-D27))*((E26-D26)/(E27-E26)))/((F26-D26)/(E27-F26))^2)*(D142-0.5)*LN(D142/(1-D142)))),NA())))))</f>
        <v>8.3385821213431433E-5</v>
      </c>
      <c r="H142" s="71">
        <v>106</v>
      </c>
      <c r="I142" s="75"/>
      <c r="J142" s="76"/>
      <c r="K142" s="77"/>
      <c r="M142"/>
    </row>
    <row r="143" spans="4:13" x14ac:dyDescent="0.35">
      <c r="D143" s="54" t="e">
        <f>IF(AND(OR(F25="su",F25="b"),F27=""),1,NA())</f>
        <v>#N/A</v>
      </c>
      <c r="E143" s="55" t="e">
        <f>IF(AND(OR(F25="su",F25="b"),F27=""),E27,NA())</f>
        <v>#N/A</v>
      </c>
      <c r="F143" s="56" t="e">
        <f>IF(AND(OR(F25="su",F25="b"),F27=""),0,NA())</f>
        <v>#N/A</v>
      </c>
      <c r="H143" s="78">
        <v>107</v>
      </c>
      <c r="I143" s="75"/>
      <c r="J143" s="76"/>
      <c r="K143" s="77"/>
      <c r="M143"/>
    </row>
    <row r="144" spans="4:13" x14ac:dyDescent="0.35">
      <c r="M144"/>
    </row>
    <row r="145" spans="10:13" x14ac:dyDescent="0.35">
      <c r="M145"/>
    </row>
    <row r="146" spans="10:13" x14ac:dyDescent="0.35">
      <c r="M146"/>
    </row>
    <row r="147" spans="10:13" x14ac:dyDescent="0.35">
      <c r="M147"/>
    </row>
    <row r="148" spans="10:13" x14ac:dyDescent="0.35">
      <c r="M148"/>
    </row>
    <row r="149" spans="10:13" x14ac:dyDescent="0.35">
      <c r="M149"/>
    </row>
    <row r="150" spans="10:13" x14ac:dyDescent="0.35">
      <c r="M150"/>
    </row>
    <row r="151" spans="10:13" x14ac:dyDescent="0.35">
      <c r="L151"/>
      <c r="M151"/>
    </row>
    <row r="152" spans="10:13" x14ac:dyDescent="0.35">
      <c r="L152"/>
      <c r="M152"/>
    </row>
    <row r="153" spans="10:13" x14ac:dyDescent="0.35">
      <c r="L153"/>
      <c r="M153"/>
    </row>
    <row r="154" spans="10:13" x14ac:dyDescent="0.35">
      <c r="L154"/>
      <c r="M154"/>
    </row>
    <row r="155" spans="10:13" x14ac:dyDescent="0.35">
      <c r="J155" s="21"/>
      <c r="K155" s="21"/>
      <c r="L155"/>
      <c r="M155"/>
    </row>
    <row r="156" spans="10:13" x14ac:dyDescent="0.35">
      <c r="J156" s="21"/>
      <c r="K156" s="21"/>
      <c r="L156"/>
      <c r="M156"/>
    </row>
    <row r="157" spans="10:13" x14ac:dyDescent="0.35">
      <c r="J157" s="21"/>
      <c r="K157" s="21"/>
      <c r="L157"/>
      <c r="M157"/>
    </row>
    <row r="158" spans="10:13" x14ac:dyDescent="0.35">
      <c r="J158" s="21"/>
      <c r="K158" s="21"/>
      <c r="L158"/>
      <c r="M158"/>
    </row>
    <row r="159" spans="10:13" x14ac:dyDescent="0.35">
      <c r="J159" s="21"/>
      <c r="K159" s="21"/>
      <c r="L159"/>
      <c r="M159"/>
    </row>
    <row r="160" spans="10:13" x14ac:dyDescent="0.35">
      <c r="J160" s="21"/>
      <c r="K160" s="21"/>
      <c r="L160"/>
      <c r="M160"/>
    </row>
    <row r="161" spans="10:13" x14ac:dyDescent="0.35">
      <c r="J161" s="21"/>
      <c r="K161" s="21"/>
      <c r="L161"/>
      <c r="M161"/>
    </row>
    <row r="162" spans="10:13" x14ac:dyDescent="0.35">
      <c r="J162" s="21"/>
      <c r="K162" s="21"/>
      <c r="L162"/>
      <c r="M162"/>
    </row>
    <row r="163" spans="10:13" x14ac:dyDescent="0.35">
      <c r="J163" s="21"/>
      <c r="K163" s="21"/>
      <c r="L163"/>
      <c r="M163"/>
    </row>
    <row r="164" spans="10:13" x14ac:dyDescent="0.35">
      <c r="J164" s="21"/>
      <c r="K164" s="21"/>
      <c r="L164"/>
      <c r="M164"/>
    </row>
    <row r="165" spans="10:13" x14ac:dyDescent="0.35">
      <c r="J165" s="21"/>
      <c r="K165" s="21"/>
      <c r="L165"/>
      <c r="M165"/>
    </row>
    <row r="166" spans="10:13" x14ac:dyDescent="0.35">
      <c r="J166" s="21"/>
      <c r="K166" s="21"/>
      <c r="L166"/>
      <c r="M166"/>
    </row>
    <row r="167" spans="10:13" x14ac:dyDescent="0.35">
      <c r="J167" s="21"/>
      <c r="K167" s="21"/>
      <c r="L167"/>
      <c r="M167"/>
    </row>
    <row r="168" spans="10:13" x14ac:dyDescent="0.35">
      <c r="J168" s="21"/>
      <c r="K168" s="21"/>
      <c r="L168"/>
      <c r="M168"/>
    </row>
    <row r="169" spans="10:13" x14ac:dyDescent="0.35">
      <c r="J169" s="21"/>
      <c r="K169" s="21"/>
      <c r="L169"/>
      <c r="M169"/>
    </row>
    <row r="170" spans="10:13" x14ac:dyDescent="0.35">
      <c r="J170" s="21"/>
      <c r="K170" s="21"/>
      <c r="L170"/>
      <c r="M170"/>
    </row>
    <row r="171" spans="10:13" x14ac:dyDescent="0.35">
      <c r="J171" s="21"/>
      <c r="K171" s="21"/>
      <c r="L171"/>
      <c r="M171"/>
    </row>
    <row r="172" spans="10:13" x14ac:dyDescent="0.35">
      <c r="J172" s="21"/>
      <c r="K172" s="21"/>
      <c r="L172"/>
      <c r="M172"/>
    </row>
    <row r="173" spans="10:13" x14ac:dyDescent="0.35">
      <c r="J173" s="21"/>
      <c r="K173" s="21"/>
      <c r="L173"/>
      <c r="M173"/>
    </row>
    <row r="174" spans="10:13" x14ac:dyDescent="0.35">
      <c r="J174" s="21"/>
      <c r="K174" s="21"/>
      <c r="L174"/>
      <c r="M174"/>
    </row>
    <row r="175" spans="10:13" x14ac:dyDescent="0.35">
      <c r="J175" s="21"/>
      <c r="K175" s="21"/>
      <c r="L175"/>
      <c r="M175"/>
    </row>
    <row r="176" spans="10:13" x14ac:dyDescent="0.35">
      <c r="J176" s="21"/>
      <c r="K176" s="21"/>
      <c r="L176"/>
      <c r="M176"/>
    </row>
    <row r="177" spans="10:13" x14ac:dyDescent="0.35">
      <c r="J177" s="21"/>
      <c r="K177" s="21"/>
      <c r="L177"/>
      <c r="M177"/>
    </row>
    <row r="178" spans="10:13" x14ac:dyDescent="0.35">
      <c r="J178" s="21"/>
      <c r="K178" s="21"/>
      <c r="L178"/>
      <c r="M178"/>
    </row>
    <row r="179" spans="10:13" x14ac:dyDescent="0.35">
      <c r="J179" s="21"/>
      <c r="K179" s="21"/>
      <c r="L179"/>
      <c r="M179"/>
    </row>
    <row r="180" spans="10:13" x14ac:dyDescent="0.35">
      <c r="J180" s="21"/>
      <c r="K180" s="21"/>
      <c r="L180"/>
      <c r="M180"/>
    </row>
    <row r="181" spans="10:13" x14ac:dyDescent="0.35">
      <c r="J181" s="21"/>
      <c r="K181" s="21"/>
      <c r="L181"/>
      <c r="M181"/>
    </row>
    <row r="182" spans="10:13" x14ac:dyDescent="0.35">
      <c r="J182" s="21"/>
      <c r="K182" s="21"/>
      <c r="L182"/>
      <c r="M182"/>
    </row>
    <row r="183" spans="10:13" x14ac:dyDescent="0.35">
      <c r="J183" s="21"/>
      <c r="K183" s="21"/>
      <c r="L183"/>
      <c r="M183"/>
    </row>
    <row r="184" spans="10:13" x14ac:dyDescent="0.35">
      <c r="J184" s="21"/>
      <c r="K184" s="21"/>
      <c r="L184"/>
      <c r="M184"/>
    </row>
    <row r="185" spans="10:13" x14ac:dyDescent="0.35">
      <c r="J185" s="21"/>
      <c r="K185" s="21"/>
      <c r="L185"/>
      <c r="M185"/>
    </row>
    <row r="186" spans="10:13" x14ac:dyDescent="0.35">
      <c r="J186" s="21"/>
      <c r="K186" s="21"/>
      <c r="L186"/>
      <c r="M186"/>
    </row>
    <row r="187" spans="10:13" x14ac:dyDescent="0.35">
      <c r="J187" s="21"/>
      <c r="K187" s="21"/>
      <c r="L187"/>
      <c r="M187"/>
    </row>
    <row r="188" spans="10:13" x14ac:dyDescent="0.35">
      <c r="J188" s="21"/>
      <c r="K188" s="21"/>
      <c r="L188"/>
      <c r="M188"/>
    </row>
    <row r="189" spans="10:13" x14ac:dyDescent="0.35">
      <c r="J189" s="21"/>
      <c r="K189" s="21"/>
      <c r="L189"/>
      <c r="M189"/>
    </row>
    <row r="190" spans="10:13" x14ac:dyDescent="0.35">
      <c r="J190" s="21"/>
      <c r="K190" s="21"/>
      <c r="L190"/>
      <c r="M190"/>
    </row>
    <row r="191" spans="10:13" x14ac:dyDescent="0.35">
      <c r="J191" s="21"/>
      <c r="K191" s="21"/>
      <c r="L191"/>
      <c r="M191"/>
    </row>
    <row r="192" spans="10:13" x14ac:dyDescent="0.35">
      <c r="J192" s="21"/>
      <c r="K192" s="21"/>
      <c r="L192"/>
      <c r="M192"/>
    </row>
    <row r="193" spans="10:13" x14ac:dyDescent="0.35">
      <c r="J193" s="21"/>
      <c r="K193" s="21"/>
      <c r="L193"/>
      <c r="M193"/>
    </row>
    <row r="194" spans="10:13" x14ac:dyDescent="0.35">
      <c r="J194" s="21"/>
      <c r="K194" s="21"/>
      <c r="L194"/>
      <c r="M194"/>
    </row>
    <row r="195" spans="10:13" x14ac:dyDescent="0.35">
      <c r="J195" s="21"/>
      <c r="K195" s="21"/>
      <c r="L195"/>
      <c r="M195"/>
    </row>
    <row r="196" spans="10:13" x14ac:dyDescent="0.35">
      <c r="J196" s="21"/>
      <c r="K196" s="21"/>
      <c r="L196"/>
      <c r="M196"/>
    </row>
    <row r="197" spans="10:13" x14ac:dyDescent="0.35">
      <c r="J197" s="21"/>
      <c r="K197" s="21"/>
      <c r="L197"/>
      <c r="M197"/>
    </row>
    <row r="198" spans="10:13" x14ac:dyDescent="0.35">
      <c r="J198" s="21"/>
      <c r="K198" s="21"/>
      <c r="L198"/>
      <c r="M198"/>
    </row>
    <row r="199" spans="10:13" x14ac:dyDescent="0.35">
      <c r="J199" s="21"/>
      <c r="K199" s="21"/>
      <c r="L199"/>
      <c r="M199"/>
    </row>
    <row r="200" spans="10:13" x14ac:dyDescent="0.35">
      <c r="J200" s="21"/>
      <c r="K200" s="21"/>
      <c r="L200"/>
      <c r="M200"/>
    </row>
    <row r="201" spans="10:13" x14ac:dyDescent="0.35">
      <c r="J201" s="21"/>
      <c r="K201" s="21"/>
      <c r="L201"/>
      <c r="M201"/>
    </row>
    <row r="202" spans="10:13" x14ac:dyDescent="0.35">
      <c r="J202" s="21"/>
      <c r="K202" s="21"/>
      <c r="L202"/>
      <c r="M202"/>
    </row>
    <row r="203" spans="10:13" x14ac:dyDescent="0.35">
      <c r="J203" s="21"/>
      <c r="K203" s="21"/>
      <c r="L203"/>
      <c r="M203"/>
    </row>
    <row r="204" spans="10:13" x14ac:dyDescent="0.35">
      <c r="J204" s="21"/>
      <c r="K204" s="21"/>
      <c r="L204"/>
      <c r="M204"/>
    </row>
    <row r="205" spans="10:13" x14ac:dyDescent="0.35">
      <c r="J205" s="21"/>
      <c r="K205" s="21"/>
      <c r="L205"/>
      <c r="M205"/>
    </row>
    <row r="206" spans="10:13" x14ac:dyDescent="0.35">
      <c r="J206" s="21"/>
      <c r="K206" s="21"/>
      <c r="L206"/>
      <c r="M206"/>
    </row>
    <row r="207" spans="10:13" x14ac:dyDescent="0.35">
      <c r="J207" s="21"/>
      <c r="K207" s="21"/>
      <c r="L207"/>
      <c r="M207"/>
    </row>
    <row r="208" spans="10:13" x14ac:dyDescent="0.35">
      <c r="J208" s="21"/>
      <c r="K208" s="21"/>
      <c r="L208"/>
      <c r="M208"/>
    </row>
    <row r="209" spans="10:13" x14ac:dyDescent="0.35">
      <c r="J209" s="21"/>
      <c r="K209" s="21"/>
      <c r="L209"/>
      <c r="M209"/>
    </row>
    <row r="210" spans="10:13" x14ac:dyDescent="0.35">
      <c r="J210" s="21"/>
      <c r="K210" s="21"/>
      <c r="L210"/>
      <c r="M210"/>
    </row>
    <row r="211" spans="10:13" x14ac:dyDescent="0.35">
      <c r="J211" s="21"/>
      <c r="K211" s="21"/>
      <c r="L211"/>
      <c r="M211"/>
    </row>
    <row r="212" spans="10:13" x14ac:dyDescent="0.35">
      <c r="J212" s="21"/>
      <c r="K212" s="21"/>
      <c r="L212"/>
      <c r="M212"/>
    </row>
    <row r="213" spans="10:13" x14ac:dyDescent="0.35">
      <c r="J213" s="21"/>
      <c r="K213" s="21"/>
      <c r="L213"/>
      <c r="M213"/>
    </row>
    <row r="214" spans="10:13" x14ac:dyDescent="0.35">
      <c r="J214" s="21"/>
      <c r="K214" s="21"/>
      <c r="L214"/>
      <c r="M214"/>
    </row>
    <row r="215" spans="10:13" x14ac:dyDescent="0.35">
      <c r="J215" s="21"/>
      <c r="K215" s="21"/>
      <c r="L215"/>
      <c r="M215"/>
    </row>
    <row r="216" spans="10:13" x14ac:dyDescent="0.35">
      <c r="J216" s="21"/>
      <c r="K216" s="21"/>
      <c r="L216"/>
      <c r="M216"/>
    </row>
    <row r="217" spans="10:13" x14ac:dyDescent="0.35">
      <c r="J217" s="21"/>
      <c r="K217" s="21"/>
      <c r="L217"/>
      <c r="M217"/>
    </row>
    <row r="218" spans="10:13" x14ac:dyDescent="0.35">
      <c r="J218" s="21"/>
      <c r="K218" s="21"/>
      <c r="L218"/>
      <c r="M218"/>
    </row>
    <row r="219" spans="10:13" x14ac:dyDescent="0.35">
      <c r="J219" s="21"/>
      <c r="K219" s="21"/>
      <c r="L219"/>
      <c r="M219"/>
    </row>
    <row r="220" spans="10:13" x14ac:dyDescent="0.35">
      <c r="J220" s="21"/>
      <c r="K220" s="21"/>
      <c r="L220"/>
      <c r="M220"/>
    </row>
    <row r="221" spans="10:13" x14ac:dyDescent="0.35">
      <c r="J221" s="21"/>
      <c r="K221" s="21"/>
      <c r="L221"/>
      <c r="M221"/>
    </row>
    <row r="222" spans="10:13" x14ac:dyDescent="0.35">
      <c r="J222" s="21"/>
      <c r="K222" s="21"/>
      <c r="L222"/>
      <c r="M222"/>
    </row>
    <row r="223" spans="10:13" x14ac:dyDescent="0.35">
      <c r="J223" s="21"/>
      <c r="K223" s="21"/>
      <c r="L223"/>
      <c r="M223"/>
    </row>
    <row r="224" spans="10:13" x14ac:dyDescent="0.35">
      <c r="J224" s="21"/>
      <c r="K224" s="21"/>
      <c r="L224"/>
      <c r="M224"/>
    </row>
    <row r="225" spans="10:13" x14ac:dyDescent="0.35">
      <c r="J225" s="21"/>
      <c r="K225" s="21"/>
      <c r="L225"/>
      <c r="M225"/>
    </row>
    <row r="226" spans="10:13" x14ac:dyDescent="0.35">
      <c r="J226" s="21"/>
      <c r="K226" s="21"/>
      <c r="L226"/>
      <c r="M226"/>
    </row>
    <row r="227" spans="10:13" x14ac:dyDescent="0.35">
      <c r="J227" s="21"/>
      <c r="K227" s="21"/>
      <c r="L227"/>
      <c r="M227"/>
    </row>
    <row r="228" spans="10:13" x14ac:dyDescent="0.35">
      <c r="J228" s="21"/>
      <c r="K228" s="21"/>
      <c r="L228"/>
      <c r="M228"/>
    </row>
    <row r="229" spans="10:13" x14ac:dyDescent="0.35">
      <c r="J229" s="21"/>
      <c r="K229" s="21"/>
      <c r="L229"/>
      <c r="M229"/>
    </row>
    <row r="230" spans="10:13" x14ac:dyDescent="0.35">
      <c r="J230" s="21"/>
      <c r="K230" s="21"/>
      <c r="L230"/>
      <c r="M230"/>
    </row>
    <row r="231" spans="10:13" x14ac:dyDescent="0.35">
      <c r="J231" s="21"/>
      <c r="K231" s="21"/>
      <c r="L231"/>
      <c r="M231"/>
    </row>
    <row r="232" spans="10:13" x14ac:dyDescent="0.35">
      <c r="J232" s="21"/>
      <c r="K232" s="21"/>
      <c r="L232"/>
      <c r="M232"/>
    </row>
    <row r="233" spans="10:13" x14ac:dyDescent="0.35">
      <c r="J233" s="21"/>
      <c r="K233" s="21"/>
      <c r="L233"/>
      <c r="M233"/>
    </row>
    <row r="234" spans="10:13" x14ac:dyDescent="0.35">
      <c r="J234" s="21"/>
      <c r="K234" s="21"/>
      <c r="L234"/>
      <c r="M234"/>
    </row>
    <row r="235" spans="10:13" x14ac:dyDescent="0.35">
      <c r="J235" s="21"/>
      <c r="K235" s="21"/>
      <c r="L235"/>
      <c r="M235"/>
    </row>
    <row r="236" spans="10:13" x14ac:dyDescent="0.35">
      <c r="J236" s="21"/>
      <c r="K236" s="21"/>
      <c r="L236"/>
      <c r="M236"/>
    </row>
    <row r="237" spans="10:13" x14ac:dyDescent="0.35">
      <c r="J237" s="21"/>
      <c r="K237" s="21"/>
      <c r="L237"/>
      <c r="M237"/>
    </row>
    <row r="238" spans="10:13" x14ac:dyDescent="0.35">
      <c r="J238" s="21"/>
      <c r="K238" s="21"/>
      <c r="L238"/>
      <c r="M238"/>
    </row>
    <row r="239" spans="10:13" x14ac:dyDescent="0.35">
      <c r="J239" s="21"/>
      <c r="K239" s="21"/>
      <c r="L239"/>
      <c r="M239"/>
    </row>
    <row r="240" spans="10:13" x14ac:dyDescent="0.35">
      <c r="J240" s="21"/>
      <c r="K240" s="21"/>
      <c r="L240"/>
      <c r="M240"/>
    </row>
    <row r="241" spans="10:13" x14ac:dyDescent="0.35">
      <c r="J241" s="21"/>
      <c r="K241" s="21"/>
      <c r="L241"/>
      <c r="M241"/>
    </row>
    <row r="242" spans="10:13" x14ac:dyDescent="0.35">
      <c r="J242" s="21"/>
      <c r="K242" s="21"/>
      <c r="L242"/>
      <c r="M242"/>
    </row>
    <row r="243" spans="10:13" x14ac:dyDescent="0.35">
      <c r="J243" s="21"/>
      <c r="K243" s="21"/>
      <c r="L243"/>
      <c r="M243"/>
    </row>
    <row r="244" spans="10:13" x14ac:dyDescent="0.35">
      <c r="J244" s="21"/>
      <c r="K244" s="21"/>
      <c r="L244"/>
      <c r="M244"/>
    </row>
    <row r="245" spans="10:13" x14ac:dyDescent="0.35">
      <c r="J245" s="21"/>
      <c r="K245" s="21"/>
      <c r="L245"/>
      <c r="M245"/>
    </row>
    <row r="246" spans="10:13" x14ac:dyDescent="0.35">
      <c r="J246" s="21"/>
      <c r="K246" s="21"/>
      <c r="L246"/>
      <c r="M246"/>
    </row>
    <row r="247" spans="10:13" x14ac:dyDescent="0.35">
      <c r="J247" s="21"/>
      <c r="K247" s="21"/>
      <c r="L247"/>
      <c r="M247"/>
    </row>
    <row r="248" spans="10:13" x14ac:dyDescent="0.35">
      <c r="J248" s="21"/>
      <c r="K248" s="21"/>
      <c r="L248"/>
      <c r="M248"/>
    </row>
    <row r="249" spans="10:13" x14ac:dyDescent="0.35">
      <c r="J249" s="21"/>
      <c r="K249" s="21"/>
      <c r="L249"/>
      <c r="M249"/>
    </row>
    <row r="250" spans="10:13" x14ac:dyDescent="0.35">
      <c r="J250" s="21"/>
      <c r="K250" s="21"/>
      <c r="L250"/>
      <c r="M250"/>
    </row>
    <row r="251" spans="10:13" x14ac:dyDescent="0.35">
      <c r="J251" s="21"/>
      <c r="K251" s="21"/>
      <c r="L251"/>
      <c r="M251"/>
    </row>
    <row r="252" spans="10:13" x14ac:dyDescent="0.35">
      <c r="J252" s="21"/>
      <c r="K252" s="21"/>
      <c r="L252"/>
      <c r="M252"/>
    </row>
    <row r="253" spans="10:13" x14ac:dyDescent="0.35">
      <c r="J253" s="21"/>
      <c r="K253" s="21"/>
      <c r="L253"/>
      <c r="M253"/>
    </row>
    <row r="254" spans="10:13" x14ac:dyDescent="0.35">
      <c r="J254" s="21"/>
      <c r="K254" s="21"/>
      <c r="L254"/>
      <c r="M254"/>
    </row>
    <row r="255" spans="10:13" x14ac:dyDescent="0.35">
      <c r="J255" s="21"/>
      <c r="K255" s="21"/>
      <c r="L255"/>
      <c r="M255"/>
    </row>
    <row r="256" spans="10:13" x14ac:dyDescent="0.35">
      <c r="J256" s="21"/>
      <c r="K256" s="21"/>
      <c r="L256"/>
      <c r="M256"/>
    </row>
    <row r="257" spans="10:13" x14ac:dyDescent="0.35">
      <c r="J257" s="21"/>
      <c r="K257" s="21"/>
      <c r="L257"/>
      <c r="M257"/>
    </row>
    <row r="258" spans="10:13" x14ac:dyDescent="0.35">
      <c r="J258" s="21"/>
      <c r="K258" s="21"/>
      <c r="L258"/>
      <c r="M258"/>
    </row>
    <row r="259" spans="10:13" x14ac:dyDescent="0.35">
      <c r="J259" s="21"/>
      <c r="K259" s="21"/>
      <c r="L259"/>
      <c r="M259"/>
    </row>
    <row r="260" spans="10:13" x14ac:dyDescent="0.35">
      <c r="J260" s="21"/>
      <c r="K260" s="21"/>
      <c r="L260"/>
      <c r="M260"/>
    </row>
    <row r="261" spans="10:13" x14ac:dyDescent="0.35">
      <c r="J261" s="21"/>
      <c r="K261" s="21"/>
      <c r="L261"/>
      <c r="M261"/>
    </row>
    <row r="262" spans="10:13" x14ac:dyDescent="0.35">
      <c r="J262" s="21"/>
      <c r="K262" s="21"/>
      <c r="L262"/>
      <c r="M262"/>
    </row>
    <row r="263" spans="10:13" x14ac:dyDescent="0.35">
      <c r="J263" s="21"/>
      <c r="K263" s="21"/>
      <c r="L263"/>
      <c r="M263"/>
    </row>
    <row r="264" spans="10:13" x14ac:dyDescent="0.35">
      <c r="J264" s="21"/>
      <c r="K264" s="21"/>
      <c r="L264"/>
      <c r="M264"/>
    </row>
    <row r="265" spans="10:13" x14ac:dyDescent="0.35">
      <c r="J265" s="21"/>
      <c r="K265" s="21"/>
      <c r="L265"/>
      <c r="M265"/>
    </row>
    <row r="266" spans="10:13" x14ac:dyDescent="0.35">
      <c r="J266" s="21"/>
      <c r="K266" s="21"/>
      <c r="L266"/>
      <c r="M266"/>
    </row>
    <row r="267" spans="10:13" x14ac:dyDescent="0.35">
      <c r="J267" s="21"/>
      <c r="K267" s="21"/>
      <c r="L267"/>
      <c r="M267"/>
    </row>
    <row r="268" spans="10:13" x14ac:dyDescent="0.35">
      <c r="J268" s="21"/>
      <c r="K268" s="21"/>
      <c r="L268"/>
      <c r="M268"/>
    </row>
    <row r="269" spans="10:13" x14ac:dyDescent="0.35">
      <c r="J269" s="21"/>
      <c r="K269" s="21"/>
      <c r="L269"/>
      <c r="M269"/>
    </row>
    <row r="270" spans="10:13" x14ac:dyDescent="0.35">
      <c r="J270" s="21"/>
      <c r="K270" s="21"/>
      <c r="L270"/>
      <c r="M270"/>
    </row>
    <row r="271" spans="10:13" x14ac:dyDescent="0.35">
      <c r="J271" s="21"/>
      <c r="K271" s="21"/>
      <c r="L271"/>
      <c r="M271"/>
    </row>
    <row r="272" spans="10:13" x14ac:dyDescent="0.35">
      <c r="J272" s="21"/>
      <c r="K272" s="21"/>
      <c r="L272"/>
      <c r="M272"/>
    </row>
    <row r="273" spans="10:13" x14ac:dyDescent="0.35">
      <c r="J273" s="21"/>
      <c r="K273" s="21"/>
      <c r="L273"/>
      <c r="M273"/>
    </row>
    <row r="274" spans="10:13" x14ac:dyDescent="0.35">
      <c r="J274" s="21"/>
      <c r="K274" s="21"/>
      <c r="L274"/>
      <c r="M274"/>
    </row>
    <row r="275" spans="10:13" x14ac:dyDescent="0.35">
      <c r="J275" s="21"/>
      <c r="K275" s="21"/>
      <c r="L275"/>
      <c r="M275"/>
    </row>
    <row r="276" spans="10:13" x14ac:dyDescent="0.35">
      <c r="J276" s="21"/>
      <c r="K276" s="21"/>
      <c r="L276"/>
      <c r="M276"/>
    </row>
    <row r="277" spans="10:13" x14ac:dyDescent="0.35">
      <c r="J277" s="21"/>
      <c r="K277" s="21"/>
      <c r="L277"/>
      <c r="M277"/>
    </row>
    <row r="278" spans="10:13" x14ac:dyDescent="0.35">
      <c r="J278" s="21"/>
      <c r="K278" s="21"/>
      <c r="L278"/>
      <c r="M278"/>
    </row>
    <row r="279" spans="10:13" x14ac:dyDescent="0.35">
      <c r="J279" s="21"/>
      <c r="K279" s="21"/>
      <c r="L279"/>
      <c r="M279"/>
    </row>
    <row r="280" spans="10:13" x14ac:dyDescent="0.35">
      <c r="J280" s="21"/>
      <c r="K280" s="21"/>
      <c r="L280"/>
      <c r="M280"/>
    </row>
    <row r="281" spans="10:13" x14ac:dyDescent="0.35">
      <c r="J281" s="21"/>
      <c r="K281" s="21"/>
      <c r="L281"/>
      <c r="M281"/>
    </row>
    <row r="282" spans="10:13" x14ac:dyDescent="0.35">
      <c r="J282" s="21"/>
      <c r="K282" s="21"/>
      <c r="L282"/>
      <c r="M282"/>
    </row>
    <row r="283" spans="10:13" x14ac:dyDescent="0.35">
      <c r="J283" s="21"/>
      <c r="K283" s="21"/>
      <c r="L283"/>
      <c r="M283"/>
    </row>
    <row r="284" spans="10:13" x14ac:dyDescent="0.35">
      <c r="J284" s="21"/>
      <c r="K284" s="21"/>
      <c r="L284"/>
      <c r="M284"/>
    </row>
    <row r="285" spans="10:13" x14ac:dyDescent="0.35">
      <c r="J285" s="21"/>
      <c r="K285" s="21"/>
      <c r="L285"/>
      <c r="M285"/>
    </row>
    <row r="286" spans="10:13" x14ac:dyDescent="0.35">
      <c r="J286" s="21"/>
      <c r="K286" s="21"/>
      <c r="L286"/>
      <c r="M286"/>
    </row>
    <row r="287" spans="10:13" x14ac:dyDescent="0.35">
      <c r="J287" s="21"/>
      <c r="K287" s="21"/>
      <c r="L287"/>
      <c r="M287"/>
    </row>
    <row r="288" spans="10:13" x14ac:dyDescent="0.35">
      <c r="J288" s="21"/>
      <c r="K288" s="21"/>
      <c r="L288"/>
      <c r="M288"/>
    </row>
    <row r="289" spans="10:13" x14ac:dyDescent="0.35">
      <c r="J289" s="21"/>
      <c r="K289" s="21"/>
      <c r="L289"/>
      <c r="M289"/>
    </row>
    <row r="290" spans="10:13" x14ac:dyDescent="0.35">
      <c r="J290" s="21"/>
      <c r="K290" s="21"/>
      <c r="L290"/>
      <c r="M290"/>
    </row>
    <row r="291" spans="10:13" x14ac:dyDescent="0.35">
      <c r="J291" s="21"/>
      <c r="K291" s="21"/>
      <c r="L291"/>
      <c r="M291"/>
    </row>
    <row r="292" spans="10:13" x14ac:dyDescent="0.35">
      <c r="J292" s="21"/>
      <c r="K292" s="21"/>
      <c r="L292"/>
      <c r="M292"/>
    </row>
    <row r="293" spans="10:13" x14ac:dyDescent="0.35">
      <c r="J293" s="21"/>
      <c r="K293" s="21"/>
      <c r="L293"/>
      <c r="M293"/>
    </row>
    <row r="294" spans="10:13" x14ac:dyDescent="0.35">
      <c r="J294" s="21"/>
      <c r="K294" s="21"/>
      <c r="L294"/>
      <c r="M294"/>
    </row>
    <row r="295" spans="10:13" x14ac:dyDescent="0.35">
      <c r="J295" s="21"/>
      <c r="K295" s="21"/>
      <c r="L295"/>
      <c r="M295"/>
    </row>
    <row r="296" spans="10:13" x14ac:dyDescent="0.35">
      <c r="J296" s="21"/>
      <c r="K296" s="21"/>
      <c r="L296"/>
      <c r="M296"/>
    </row>
    <row r="297" spans="10:13" x14ac:dyDescent="0.35">
      <c r="J297" s="21"/>
      <c r="K297" s="21"/>
      <c r="L297"/>
      <c r="M297"/>
    </row>
    <row r="298" spans="10:13" x14ac:dyDescent="0.35">
      <c r="J298" s="21"/>
      <c r="K298" s="21"/>
      <c r="L298"/>
      <c r="M298"/>
    </row>
    <row r="299" spans="10:13" x14ac:dyDescent="0.35">
      <c r="J299" s="21"/>
      <c r="K299" s="21"/>
      <c r="L299"/>
      <c r="M299"/>
    </row>
    <row r="300" spans="10:13" x14ac:dyDescent="0.35">
      <c r="J300" s="21"/>
      <c r="K300" s="21"/>
      <c r="L300"/>
      <c r="M300"/>
    </row>
    <row r="301" spans="10:13" x14ac:dyDescent="0.35">
      <c r="J301" s="21"/>
      <c r="K301" s="21"/>
      <c r="L301"/>
      <c r="M301"/>
    </row>
    <row r="302" spans="10:13" x14ac:dyDescent="0.35">
      <c r="J302" s="21"/>
      <c r="K302" s="21"/>
      <c r="L302"/>
      <c r="M302"/>
    </row>
    <row r="303" spans="10:13" x14ac:dyDescent="0.35">
      <c r="J303" s="21"/>
      <c r="K303" s="21"/>
      <c r="L303"/>
      <c r="M303"/>
    </row>
    <row r="304" spans="10:13" x14ac:dyDescent="0.35">
      <c r="J304" s="21"/>
      <c r="K304" s="21"/>
      <c r="L304"/>
      <c r="M304"/>
    </row>
    <row r="305" spans="10:13" x14ac:dyDescent="0.35">
      <c r="J305" s="21"/>
      <c r="K305" s="21"/>
      <c r="L305"/>
      <c r="M305"/>
    </row>
    <row r="306" spans="10:13" x14ac:dyDescent="0.35">
      <c r="J306" s="21"/>
      <c r="K306" s="21"/>
      <c r="L306"/>
      <c r="M306"/>
    </row>
    <row r="307" spans="10:13" x14ac:dyDescent="0.35">
      <c r="J307" s="21"/>
      <c r="K307" s="21"/>
      <c r="L307"/>
      <c r="M307"/>
    </row>
    <row r="308" spans="10:13" x14ac:dyDescent="0.35">
      <c r="J308" s="21"/>
      <c r="K308" s="21"/>
      <c r="L308"/>
      <c r="M308"/>
    </row>
    <row r="309" spans="10:13" x14ac:dyDescent="0.35">
      <c r="J309" s="21"/>
      <c r="K309" s="21"/>
      <c r="L309"/>
      <c r="M309"/>
    </row>
    <row r="310" spans="10:13" x14ac:dyDescent="0.35">
      <c r="J310" s="21"/>
      <c r="K310" s="21"/>
      <c r="L310"/>
      <c r="M310"/>
    </row>
    <row r="311" spans="10:13" x14ac:dyDescent="0.35">
      <c r="J311" s="21"/>
      <c r="K311" s="21"/>
      <c r="L311"/>
      <c r="M311"/>
    </row>
    <row r="312" spans="10:13" x14ac:dyDescent="0.35">
      <c r="J312" s="21"/>
      <c r="K312" s="21"/>
      <c r="L312"/>
      <c r="M312"/>
    </row>
    <row r="313" spans="10:13" x14ac:dyDescent="0.35">
      <c r="J313" s="21"/>
      <c r="K313" s="21"/>
      <c r="L313"/>
      <c r="M313"/>
    </row>
    <row r="314" spans="10:13" x14ac:dyDescent="0.35">
      <c r="J314" s="21"/>
      <c r="K314" s="21"/>
      <c r="L314"/>
      <c r="M314"/>
    </row>
    <row r="315" spans="10:13" x14ac:dyDescent="0.35">
      <c r="J315" s="21"/>
      <c r="K315" s="21"/>
      <c r="L315"/>
      <c r="M315"/>
    </row>
    <row r="316" spans="10:13" x14ac:dyDescent="0.35">
      <c r="J316" s="21"/>
      <c r="K316" s="21"/>
      <c r="L316"/>
      <c r="M316"/>
    </row>
    <row r="317" spans="10:13" x14ac:dyDescent="0.35">
      <c r="J317" s="21"/>
      <c r="K317" s="21"/>
      <c r="L317"/>
      <c r="M317"/>
    </row>
    <row r="318" spans="10:13" x14ac:dyDescent="0.35">
      <c r="J318" s="21"/>
      <c r="K318" s="21"/>
      <c r="L318"/>
      <c r="M318"/>
    </row>
    <row r="319" spans="10:13" x14ac:dyDescent="0.35">
      <c r="J319" s="21"/>
      <c r="K319" s="21"/>
      <c r="L319"/>
      <c r="M319"/>
    </row>
    <row r="320" spans="10:13" x14ac:dyDescent="0.35">
      <c r="J320" s="21"/>
      <c r="K320" s="21"/>
      <c r="L320"/>
      <c r="M320"/>
    </row>
    <row r="321" spans="10:13" x14ac:dyDescent="0.35">
      <c r="J321" s="21"/>
      <c r="K321" s="21"/>
      <c r="L321"/>
      <c r="M321"/>
    </row>
    <row r="322" spans="10:13" x14ac:dyDescent="0.35">
      <c r="J322" s="21"/>
      <c r="K322" s="21"/>
      <c r="L322"/>
      <c r="M322"/>
    </row>
    <row r="323" spans="10:13" x14ac:dyDescent="0.35">
      <c r="J323" s="21"/>
      <c r="K323" s="21"/>
      <c r="L323"/>
      <c r="M323"/>
    </row>
    <row r="324" spans="10:13" x14ac:dyDescent="0.35">
      <c r="J324" s="21"/>
      <c r="K324" s="21"/>
      <c r="L324"/>
      <c r="M324"/>
    </row>
    <row r="325" spans="10:13" x14ac:dyDescent="0.35">
      <c r="J325" s="21"/>
      <c r="K325" s="21"/>
      <c r="L325"/>
      <c r="M325"/>
    </row>
    <row r="326" spans="10:13" x14ac:dyDescent="0.35">
      <c r="J326" s="21"/>
      <c r="K326" s="21"/>
      <c r="L326"/>
      <c r="M326"/>
    </row>
    <row r="327" spans="10:13" x14ac:dyDescent="0.35">
      <c r="J327" s="21"/>
      <c r="K327" s="21"/>
      <c r="L327"/>
      <c r="M327"/>
    </row>
    <row r="328" spans="10:13" x14ac:dyDescent="0.35">
      <c r="J328" s="21"/>
      <c r="K328" s="21"/>
      <c r="L328"/>
      <c r="M328"/>
    </row>
    <row r="329" spans="10:13" x14ac:dyDescent="0.35">
      <c r="J329" s="21"/>
      <c r="K329" s="21"/>
      <c r="L329"/>
      <c r="M329"/>
    </row>
    <row r="330" spans="10:13" x14ac:dyDescent="0.35">
      <c r="J330" s="21"/>
      <c r="K330" s="21"/>
      <c r="L330"/>
      <c r="M330"/>
    </row>
    <row r="331" spans="10:13" x14ac:dyDescent="0.35">
      <c r="J331" s="21"/>
      <c r="K331" s="21"/>
      <c r="L331"/>
      <c r="M331"/>
    </row>
    <row r="332" spans="10:13" x14ac:dyDescent="0.35">
      <c r="J332" s="21"/>
      <c r="K332" s="21"/>
      <c r="L332"/>
      <c r="M332"/>
    </row>
    <row r="333" spans="10:13" x14ac:dyDescent="0.35">
      <c r="J333" s="21"/>
      <c r="K333" s="21"/>
      <c r="L333"/>
      <c r="M333"/>
    </row>
    <row r="334" spans="10:13" x14ac:dyDescent="0.35">
      <c r="J334" s="21"/>
      <c r="K334" s="21"/>
      <c r="L334"/>
      <c r="M334"/>
    </row>
    <row r="335" spans="10:13" x14ac:dyDescent="0.35">
      <c r="J335" s="21"/>
      <c r="K335" s="21"/>
      <c r="L335"/>
      <c r="M335"/>
    </row>
    <row r="336" spans="10:13" x14ac:dyDescent="0.35">
      <c r="J336" s="21"/>
      <c r="K336" s="21"/>
      <c r="L336"/>
      <c r="M336"/>
    </row>
    <row r="337" spans="10:13" x14ac:dyDescent="0.35">
      <c r="J337" s="21"/>
      <c r="K337" s="21"/>
      <c r="L337"/>
      <c r="M337"/>
    </row>
    <row r="338" spans="10:13" x14ac:dyDescent="0.35">
      <c r="J338" s="21"/>
      <c r="K338" s="21"/>
      <c r="L338"/>
      <c r="M338"/>
    </row>
    <row r="339" spans="10:13" x14ac:dyDescent="0.35">
      <c r="J339" s="21"/>
      <c r="K339" s="21"/>
      <c r="L339"/>
      <c r="M339"/>
    </row>
    <row r="340" spans="10:13" x14ac:dyDescent="0.35">
      <c r="J340" s="21"/>
      <c r="K340" s="21"/>
      <c r="L340"/>
      <c r="M340"/>
    </row>
    <row r="341" spans="10:13" x14ac:dyDescent="0.35">
      <c r="J341" s="21"/>
      <c r="K341" s="21"/>
      <c r="L341"/>
      <c r="M341"/>
    </row>
    <row r="342" spans="10:13" x14ac:dyDescent="0.35">
      <c r="J342" s="21"/>
      <c r="K342" s="21"/>
      <c r="L342"/>
      <c r="M342"/>
    </row>
    <row r="343" spans="10:13" x14ac:dyDescent="0.35">
      <c r="J343" s="21"/>
      <c r="K343" s="21"/>
      <c r="L343"/>
      <c r="M343"/>
    </row>
    <row r="344" spans="10:13" x14ac:dyDescent="0.35">
      <c r="J344" s="21"/>
      <c r="K344" s="21"/>
      <c r="L344"/>
      <c r="M344"/>
    </row>
    <row r="345" spans="10:13" x14ac:dyDescent="0.35">
      <c r="J345" s="21"/>
      <c r="K345" s="21"/>
      <c r="L345"/>
      <c r="M345"/>
    </row>
    <row r="346" spans="10:13" x14ac:dyDescent="0.35">
      <c r="J346" s="21"/>
      <c r="K346" s="21"/>
      <c r="L346"/>
      <c r="M346"/>
    </row>
    <row r="347" spans="10:13" x14ac:dyDescent="0.35">
      <c r="J347" s="21"/>
      <c r="K347" s="21"/>
      <c r="L347"/>
      <c r="M347"/>
    </row>
    <row r="348" spans="10:13" x14ac:dyDescent="0.35">
      <c r="J348" s="21"/>
      <c r="K348" s="21"/>
      <c r="L348"/>
      <c r="M348"/>
    </row>
    <row r="349" spans="10:13" x14ac:dyDescent="0.35">
      <c r="J349" s="21"/>
      <c r="K349" s="21"/>
      <c r="L349"/>
      <c r="M349"/>
    </row>
    <row r="350" spans="10:13" x14ac:dyDescent="0.35">
      <c r="J350" s="21"/>
      <c r="K350" s="21"/>
      <c r="L350"/>
      <c r="M350"/>
    </row>
    <row r="351" spans="10:13" x14ac:dyDescent="0.35">
      <c r="J351" s="21"/>
      <c r="K351" s="21"/>
      <c r="L351"/>
      <c r="M351"/>
    </row>
    <row r="352" spans="10:13" x14ac:dyDescent="0.35">
      <c r="J352" s="21"/>
      <c r="K352" s="21"/>
      <c r="L352"/>
      <c r="M352"/>
    </row>
    <row r="353" spans="10:13" x14ac:dyDescent="0.35">
      <c r="J353" s="21"/>
      <c r="K353" s="21"/>
      <c r="L353"/>
      <c r="M353"/>
    </row>
    <row r="354" spans="10:13" x14ac:dyDescent="0.35">
      <c r="J354" s="21"/>
      <c r="K354" s="21"/>
      <c r="L354"/>
      <c r="M354"/>
    </row>
    <row r="355" spans="10:13" x14ac:dyDescent="0.35">
      <c r="J355" s="21"/>
      <c r="K355" s="21"/>
      <c r="L355"/>
      <c r="M355"/>
    </row>
    <row r="356" spans="10:13" x14ac:dyDescent="0.35">
      <c r="J356" s="21"/>
      <c r="K356" s="21"/>
      <c r="L356"/>
      <c r="M356"/>
    </row>
    <row r="357" spans="10:13" x14ac:dyDescent="0.35">
      <c r="J357" s="21"/>
      <c r="K357" s="21"/>
      <c r="L357"/>
      <c r="M357"/>
    </row>
    <row r="358" spans="10:13" x14ac:dyDescent="0.35">
      <c r="J358" s="21"/>
      <c r="K358" s="21"/>
      <c r="L358"/>
      <c r="M358"/>
    </row>
    <row r="359" spans="10:13" x14ac:dyDescent="0.35">
      <c r="J359" s="21"/>
      <c r="K359" s="21"/>
      <c r="L359"/>
      <c r="M359"/>
    </row>
    <row r="360" spans="10:13" x14ac:dyDescent="0.35">
      <c r="J360" s="21"/>
      <c r="K360" s="21"/>
      <c r="L360"/>
      <c r="M360"/>
    </row>
    <row r="361" spans="10:13" x14ac:dyDescent="0.35">
      <c r="J361" s="21"/>
      <c r="K361" s="21"/>
      <c r="L361"/>
      <c r="M361"/>
    </row>
    <row r="362" spans="10:13" x14ac:dyDescent="0.35">
      <c r="J362" s="21"/>
      <c r="K362" s="21"/>
      <c r="L362"/>
      <c r="M362"/>
    </row>
    <row r="363" spans="10:13" x14ac:dyDescent="0.35">
      <c r="J363" s="21"/>
      <c r="K363" s="21"/>
      <c r="L363"/>
      <c r="M363"/>
    </row>
    <row r="364" spans="10:13" x14ac:dyDescent="0.35">
      <c r="J364" s="21"/>
      <c r="K364" s="21"/>
      <c r="L364"/>
      <c r="M364"/>
    </row>
    <row r="365" spans="10:13" x14ac:dyDescent="0.35">
      <c r="J365" s="21"/>
      <c r="K365" s="21"/>
      <c r="L365"/>
      <c r="M365"/>
    </row>
    <row r="366" spans="10:13" x14ac:dyDescent="0.35">
      <c r="J366" s="21"/>
      <c r="K366" s="21"/>
      <c r="L366"/>
      <c r="M366"/>
    </row>
    <row r="367" spans="10:13" x14ac:dyDescent="0.35">
      <c r="J367" s="21"/>
      <c r="K367" s="21"/>
      <c r="L367"/>
      <c r="M367"/>
    </row>
    <row r="368" spans="10:13" x14ac:dyDescent="0.35">
      <c r="J368" s="21"/>
      <c r="K368" s="21"/>
      <c r="L368"/>
      <c r="M368"/>
    </row>
    <row r="369" spans="10:13" x14ac:dyDescent="0.35">
      <c r="J369" s="21"/>
      <c r="K369" s="21"/>
      <c r="L369"/>
      <c r="M369"/>
    </row>
    <row r="370" spans="10:13" x14ac:dyDescent="0.35">
      <c r="J370" s="21"/>
      <c r="K370" s="21"/>
      <c r="L370"/>
      <c r="M370"/>
    </row>
    <row r="371" spans="10:13" x14ac:dyDescent="0.35">
      <c r="J371" s="21"/>
      <c r="K371" s="21"/>
      <c r="L371"/>
      <c r="M371"/>
    </row>
    <row r="372" spans="10:13" x14ac:dyDescent="0.35">
      <c r="J372" s="21"/>
      <c r="K372" s="21"/>
      <c r="L372"/>
      <c r="M372"/>
    </row>
    <row r="373" spans="10:13" x14ac:dyDescent="0.35">
      <c r="J373" s="21"/>
      <c r="K373" s="21"/>
      <c r="L373"/>
      <c r="M373"/>
    </row>
    <row r="374" spans="10:13" x14ac:dyDescent="0.35">
      <c r="J374" s="21"/>
      <c r="K374" s="21"/>
      <c r="L374"/>
      <c r="M374"/>
    </row>
    <row r="375" spans="10:13" x14ac:dyDescent="0.35">
      <c r="J375" s="21"/>
      <c r="K375" s="21"/>
      <c r="L375"/>
      <c r="M375"/>
    </row>
    <row r="376" spans="10:13" x14ac:dyDescent="0.35">
      <c r="J376" s="21"/>
      <c r="K376" s="21"/>
      <c r="L376"/>
      <c r="M376"/>
    </row>
    <row r="377" spans="10:13" x14ac:dyDescent="0.35">
      <c r="J377" s="21"/>
      <c r="K377" s="21"/>
      <c r="L377"/>
      <c r="M377"/>
    </row>
    <row r="378" spans="10:13" x14ac:dyDescent="0.35">
      <c r="J378" s="21"/>
      <c r="K378" s="21"/>
      <c r="L378"/>
      <c r="M378"/>
    </row>
    <row r="379" spans="10:13" x14ac:dyDescent="0.35">
      <c r="J379" s="21"/>
      <c r="K379" s="21"/>
      <c r="L379"/>
      <c r="M379"/>
    </row>
    <row r="380" spans="10:13" x14ac:dyDescent="0.35">
      <c r="J380" s="21"/>
      <c r="K380" s="21"/>
      <c r="L380"/>
      <c r="M380"/>
    </row>
    <row r="381" spans="10:13" x14ac:dyDescent="0.35">
      <c r="J381" s="21"/>
      <c r="K381" s="21"/>
      <c r="L381"/>
      <c r="M381"/>
    </row>
    <row r="382" spans="10:13" x14ac:dyDescent="0.35">
      <c r="J382" s="21"/>
      <c r="K382" s="21"/>
      <c r="L382"/>
      <c r="M382"/>
    </row>
    <row r="383" spans="10:13" x14ac:dyDescent="0.35">
      <c r="J383" s="21"/>
      <c r="K383" s="21"/>
      <c r="L383"/>
      <c r="M383"/>
    </row>
    <row r="384" spans="10:13" x14ac:dyDescent="0.35">
      <c r="J384" s="21"/>
      <c r="K384" s="21"/>
      <c r="L384"/>
      <c r="M384"/>
    </row>
    <row r="385" spans="10:13" x14ac:dyDescent="0.35">
      <c r="J385" s="21"/>
      <c r="K385" s="21"/>
      <c r="L385"/>
      <c r="M385"/>
    </row>
    <row r="386" spans="10:13" x14ac:dyDescent="0.35">
      <c r="J386" s="21"/>
      <c r="K386" s="21"/>
      <c r="L386"/>
      <c r="M386"/>
    </row>
    <row r="387" spans="10:13" x14ac:dyDescent="0.35">
      <c r="J387" s="21"/>
      <c r="K387" s="21"/>
      <c r="L387"/>
      <c r="M387"/>
    </row>
    <row r="388" spans="10:13" x14ac:dyDescent="0.35">
      <c r="J388" s="21"/>
      <c r="K388" s="21"/>
      <c r="L388"/>
      <c r="M388"/>
    </row>
    <row r="389" spans="10:13" x14ac:dyDescent="0.35">
      <c r="J389" s="21"/>
      <c r="K389" s="21"/>
      <c r="L389"/>
      <c r="M389"/>
    </row>
    <row r="390" spans="10:13" x14ac:dyDescent="0.35">
      <c r="J390" s="21"/>
      <c r="K390" s="21"/>
      <c r="L390"/>
      <c r="M390"/>
    </row>
    <row r="391" spans="10:13" x14ac:dyDescent="0.35">
      <c r="J391" s="21"/>
      <c r="K391" s="21"/>
      <c r="L391"/>
      <c r="M391"/>
    </row>
    <row r="392" spans="10:13" x14ac:dyDescent="0.35">
      <c r="J392" s="21"/>
      <c r="K392" s="21"/>
      <c r="L392"/>
      <c r="M392"/>
    </row>
    <row r="393" spans="10:13" x14ac:dyDescent="0.35">
      <c r="J393" s="21"/>
      <c r="K393" s="21"/>
      <c r="L393"/>
      <c r="M393"/>
    </row>
    <row r="394" spans="10:13" x14ac:dyDescent="0.35">
      <c r="J394" s="21"/>
      <c r="K394" s="21"/>
      <c r="L394"/>
      <c r="M394"/>
    </row>
    <row r="395" spans="10:13" x14ac:dyDescent="0.35">
      <c r="J395" s="21"/>
      <c r="K395" s="21"/>
      <c r="L395"/>
      <c r="M395"/>
    </row>
    <row r="396" spans="10:13" x14ac:dyDescent="0.35">
      <c r="J396" s="21"/>
      <c r="K396" s="21"/>
      <c r="L396"/>
      <c r="M396"/>
    </row>
    <row r="397" spans="10:13" x14ac:dyDescent="0.35">
      <c r="J397" s="21"/>
      <c r="K397" s="21"/>
      <c r="L397"/>
      <c r="M397"/>
    </row>
    <row r="398" spans="10:13" x14ac:dyDescent="0.35">
      <c r="J398" s="21"/>
      <c r="K398" s="21"/>
      <c r="L398"/>
      <c r="M398"/>
    </row>
    <row r="399" spans="10:13" x14ac:dyDescent="0.35">
      <c r="J399" s="21"/>
      <c r="K399" s="21"/>
      <c r="L399"/>
      <c r="M399"/>
    </row>
    <row r="400" spans="10:13" x14ac:dyDescent="0.35">
      <c r="J400" s="21"/>
      <c r="K400" s="21"/>
      <c r="L400"/>
      <c r="M400"/>
    </row>
    <row r="401" spans="10:13" x14ac:dyDescent="0.35">
      <c r="J401" s="21"/>
      <c r="K401" s="21"/>
      <c r="L401"/>
      <c r="M401"/>
    </row>
    <row r="402" spans="10:13" x14ac:dyDescent="0.35">
      <c r="J402" s="21"/>
      <c r="K402" s="21"/>
      <c r="L402"/>
      <c r="M402"/>
    </row>
    <row r="403" spans="10:13" x14ac:dyDescent="0.35">
      <c r="J403" s="21"/>
      <c r="K403" s="21"/>
      <c r="L403"/>
      <c r="M403"/>
    </row>
    <row r="404" spans="10:13" x14ac:dyDescent="0.35">
      <c r="J404" s="21"/>
      <c r="K404" s="21"/>
      <c r="L404"/>
      <c r="M404"/>
    </row>
    <row r="405" spans="10:13" x14ac:dyDescent="0.35">
      <c r="J405" s="21"/>
      <c r="K405" s="21"/>
      <c r="L405"/>
      <c r="M405"/>
    </row>
    <row r="406" spans="10:13" x14ac:dyDescent="0.35">
      <c r="J406" s="21"/>
      <c r="K406" s="21"/>
      <c r="L406"/>
      <c r="M406"/>
    </row>
    <row r="407" spans="10:13" x14ac:dyDescent="0.35">
      <c r="J407" s="21"/>
      <c r="K407" s="21"/>
      <c r="L407"/>
      <c r="M407"/>
    </row>
    <row r="408" spans="10:13" x14ac:dyDescent="0.35">
      <c r="J408" s="21"/>
      <c r="K408" s="21"/>
      <c r="L408"/>
      <c r="M408"/>
    </row>
    <row r="409" spans="10:13" x14ac:dyDescent="0.35">
      <c r="J409" s="21"/>
      <c r="K409" s="21"/>
      <c r="L409"/>
      <c r="M409"/>
    </row>
    <row r="410" spans="10:13" x14ac:dyDescent="0.35">
      <c r="J410" s="21"/>
      <c r="K410" s="21"/>
      <c r="L410"/>
      <c r="M410"/>
    </row>
    <row r="411" spans="10:13" x14ac:dyDescent="0.35">
      <c r="J411" s="21"/>
      <c r="K411" s="21"/>
      <c r="L411"/>
      <c r="M411"/>
    </row>
    <row r="412" spans="10:13" x14ac:dyDescent="0.35">
      <c r="J412" s="21"/>
      <c r="K412" s="21"/>
      <c r="L412"/>
      <c r="M412"/>
    </row>
    <row r="413" spans="10:13" x14ac:dyDescent="0.35">
      <c r="J413" s="21"/>
      <c r="K413" s="21"/>
      <c r="L413"/>
      <c r="M413"/>
    </row>
    <row r="414" spans="10:13" x14ac:dyDescent="0.35">
      <c r="J414" s="21"/>
      <c r="K414" s="21"/>
      <c r="L414"/>
      <c r="M414"/>
    </row>
    <row r="415" spans="10:13" x14ac:dyDescent="0.35">
      <c r="J415" s="21"/>
      <c r="K415" s="21"/>
      <c r="L415"/>
      <c r="M415"/>
    </row>
    <row r="416" spans="10:13" x14ac:dyDescent="0.35">
      <c r="J416" s="21"/>
      <c r="K416" s="21"/>
      <c r="L416"/>
      <c r="M416"/>
    </row>
    <row r="417" spans="10:13" x14ac:dyDescent="0.35">
      <c r="J417" s="21"/>
      <c r="K417" s="21"/>
      <c r="L417"/>
      <c r="M417"/>
    </row>
    <row r="418" spans="10:13" x14ac:dyDescent="0.35">
      <c r="J418" s="21"/>
      <c r="K418" s="21"/>
      <c r="L418"/>
      <c r="M418"/>
    </row>
    <row r="419" spans="10:13" x14ac:dyDescent="0.35">
      <c r="J419" s="21"/>
      <c r="K419" s="21"/>
      <c r="L419"/>
      <c r="M419"/>
    </row>
    <row r="420" spans="10:13" x14ac:dyDescent="0.35">
      <c r="J420" s="21"/>
      <c r="K420" s="21"/>
      <c r="L420"/>
      <c r="M420"/>
    </row>
    <row r="421" spans="10:13" x14ac:dyDescent="0.35">
      <c r="J421" s="21"/>
      <c r="K421" s="21"/>
      <c r="L421"/>
      <c r="M421"/>
    </row>
    <row r="422" spans="10:13" x14ac:dyDescent="0.35">
      <c r="J422" s="21"/>
      <c r="K422" s="21"/>
      <c r="L422"/>
      <c r="M422"/>
    </row>
    <row r="423" spans="10:13" x14ac:dyDescent="0.35">
      <c r="J423" s="21"/>
      <c r="K423" s="21"/>
      <c r="L423"/>
      <c r="M423"/>
    </row>
    <row r="424" spans="10:13" x14ac:dyDescent="0.35">
      <c r="J424" s="21"/>
      <c r="K424" s="21"/>
      <c r="L424"/>
      <c r="M424"/>
    </row>
    <row r="425" spans="10:13" x14ac:dyDescent="0.35">
      <c r="J425" s="21"/>
      <c r="K425" s="21"/>
      <c r="L425"/>
      <c r="M425"/>
    </row>
    <row r="426" spans="10:13" x14ac:dyDescent="0.35">
      <c r="J426" s="21"/>
      <c r="K426" s="21"/>
      <c r="L426"/>
      <c r="M426"/>
    </row>
    <row r="427" spans="10:13" x14ac:dyDescent="0.35">
      <c r="J427" s="21"/>
      <c r="K427" s="21"/>
      <c r="L427"/>
      <c r="M427"/>
    </row>
    <row r="428" spans="10:13" x14ac:dyDescent="0.35">
      <c r="J428" s="21"/>
      <c r="K428" s="21"/>
      <c r="L428"/>
      <c r="M428"/>
    </row>
    <row r="429" spans="10:13" x14ac:dyDescent="0.35">
      <c r="J429" s="21"/>
      <c r="K429" s="21"/>
      <c r="L429"/>
      <c r="M429"/>
    </row>
    <row r="430" spans="10:13" x14ac:dyDescent="0.35">
      <c r="J430" s="21"/>
      <c r="K430" s="21"/>
      <c r="L430"/>
      <c r="M430"/>
    </row>
    <row r="431" spans="10:13" x14ac:dyDescent="0.35">
      <c r="J431" s="21"/>
      <c r="K431" s="21"/>
      <c r="L431"/>
      <c r="M431"/>
    </row>
    <row r="432" spans="10:13" x14ac:dyDescent="0.35">
      <c r="J432" s="21"/>
      <c r="K432" s="21"/>
      <c r="L432"/>
      <c r="M432"/>
    </row>
    <row r="433" spans="10:13" x14ac:dyDescent="0.35">
      <c r="J433" s="21"/>
      <c r="K433" s="21"/>
      <c r="L433"/>
      <c r="M433"/>
    </row>
    <row r="434" spans="10:13" x14ac:dyDescent="0.35">
      <c r="J434" s="21"/>
      <c r="K434" s="21"/>
      <c r="L434"/>
      <c r="M434"/>
    </row>
    <row r="435" spans="10:13" x14ac:dyDescent="0.35">
      <c r="J435" s="21"/>
      <c r="K435" s="21"/>
      <c r="L435"/>
      <c r="M435"/>
    </row>
    <row r="436" spans="10:13" x14ac:dyDescent="0.35">
      <c r="J436" s="21"/>
      <c r="K436" s="21"/>
      <c r="L436"/>
      <c r="M436"/>
    </row>
    <row r="437" spans="10:13" x14ac:dyDescent="0.35">
      <c r="J437" s="21"/>
      <c r="K437" s="21"/>
      <c r="L437"/>
      <c r="M437"/>
    </row>
    <row r="438" spans="10:13" x14ac:dyDescent="0.35">
      <c r="J438" s="21"/>
      <c r="K438" s="21"/>
      <c r="L438"/>
      <c r="M438"/>
    </row>
    <row r="439" spans="10:13" x14ac:dyDescent="0.35">
      <c r="J439" s="21"/>
      <c r="K439" s="21"/>
      <c r="L439"/>
      <c r="M439"/>
    </row>
    <row r="440" spans="10:13" x14ac:dyDescent="0.35">
      <c r="J440" s="21"/>
      <c r="K440" s="21"/>
      <c r="L440"/>
      <c r="M440"/>
    </row>
    <row r="441" spans="10:13" x14ac:dyDescent="0.35">
      <c r="J441" s="21"/>
      <c r="K441" s="21"/>
      <c r="L441"/>
      <c r="M441"/>
    </row>
    <row r="442" spans="10:13" x14ac:dyDescent="0.35">
      <c r="J442" s="21"/>
      <c r="K442" s="21"/>
      <c r="L442"/>
      <c r="M442"/>
    </row>
    <row r="443" spans="10:13" x14ac:dyDescent="0.35">
      <c r="J443" s="21"/>
      <c r="K443" s="21"/>
      <c r="L443"/>
      <c r="M443"/>
    </row>
    <row r="444" spans="10:13" x14ac:dyDescent="0.35">
      <c r="J444" s="21"/>
      <c r="K444" s="21"/>
      <c r="L444"/>
      <c r="M444"/>
    </row>
    <row r="445" spans="10:13" x14ac:dyDescent="0.35">
      <c r="J445" s="21"/>
      <c r="K445" s="21"/>
      <c r="L445"/>
      <c r="M445"/>
    </row>
    <row r="446" spans="10:13" x14ac:dyDescent="0.35">
      <c r="J446" s="21"/>
      <c r="K446" s="21"/>
      <c r="L446"/>
      <c r="M446"/>
    </row>
    <row r="447" spans="10:13" x14ac:dyDescent="0.35">
      <c r="J447" s="21"/>
      <c r="K447" s="21"/>
      <c r="L447"/>
      <c r="M447"/>
    </row>
    <row r="448" spans="10:13" x14ac:dyDescent="0.35">
      <c r="J448" s="21"/>
      <c r="K448" s="21"/>
      <c r="L448"/>
      <c r="M448"/>
    </row>
    <row r="449" spans="10:13" x14ac:dyDescent="0.35">
      <c r="J449" s="21"/>
      <c r="K449" s="21"/>
      <c r="L449"/>
      <c r="M449"/>
    </row>
    <row r="450" spans="10:13" x14ac:dyDescent="0.35">
      <c r="J450" s="21"/>
      <c r="K450" s="21"/>
      <c r="L450"/>
      <c r="M450"/>
    </row>
    <row r="451" spans="10:13" x14ac:dyDescent="0.35">
      <c r="J451" s="21"/>
      <c r="K451" s="21"/>
      <c r="L451"/>
      <c r="M451"/>
    </row>
    <row r="452" spans="10:13" x14ac:dyDescent="0.35">
      <c r="J452" s="21"/>
      <c r="K452" s="21"/>
      <c r="L452"/>
      <c r="M452"/>
    </row>
    <row r="453" spans="10:13" x14ac:dyDescent="0.35">
      <c r="J453" s="21"/>
      <c r="K453" s="21"/>
      <c r="L453"/>
      <c r="M453"/>
    </row>
    <row r="454" spans="10:13" x14ac:dyDescent="0.35">
      <c r="J454" s="21"/>
      <c r="K454" s="21"/>
      <c r="L454"/>
      <c r="M454"/>
    </row>
    <row r="455" spans="10:13" x14ac:dyDescent="0.35">
      <c r="J455" s="21"/>
      <c r="K455" s="21"/>
      <c r="L455"/>
      <c r="M455"/>
    </row>
    <row r="456" spans="10:13" x14ac:dyDescent="0.35">
      <c r="J456" s="21"/>
      <c r="K456" s="21"/>
      <c r="L456"/>
      <c r="M456"/>
    </row>
    <row r="457" spans="10:13" x14ac:dyDescent="0.35">
      <c r="J457" s="21"/>
      <c r="K457" s="21"/>
      <c r="L457"/>
      <c r="M457"/>
    </row>
    <row r="458" spans="10:13" x14ac:dyDescent="0.35">
      <c r="J458" s="21"/>
      <c r="K458" s="21"/>
      <c r="L458"/>
      <c r="M458"/>
    </row>
    <row r="459" spans="10:13" x14ac:dyDescent="0.35">
      <c r="J459" s="21"/>
      <c r="K459" s="21"/>
      <c r="L459"/>
      <c r="M459"/>
    </row>
    <row r="460" spans="10:13" x14ac:dyDescent="0.35">
      <c r="J460" s="21"/>
      <c r="K460" s="21"/>
      <c r="L460"/>
      <c r="M460"/>
    </row>
    <row r="461" spans="10:13" x14ac:dyDescent="0.35">
      <c r="J461" s="21"/>
      <c r="K461" s="21"/>
      <c r="L461"/>
      <c r="M461"/>
    </row>
    <row r="462" spans="10:13" x14ac:dyDescent="0.35">
      <c r="J462" s="21"/>
      <c r="K462" s="21"/>
      <c r="L462"/>
      <c r="M462"/>
    </row>
    <row r="463" spans="10:13" x14ac:dyDescent="0.35">
      <c r="J463" s="21"/>
      <c r="K463" s="21"/>
      <c r="L463"/>
      <c r="M463"/>
    </row>
    <row r="464" spans="10:13" x14ac:dyDescent="0.35">
      <c r="J464" s="21"/>
      <c r="K464" s="21"/>
      <c r="L464"/>
      <c r="M464"/>
    </row>
    <row r="465" spans="10:13" x14ac:dyDescent="0.35">
      <c r="J465" s="21"/>
      <c r="K465" s="21"/>
      <c r="L465"/>
      <c r="M465"/>
    </row>
    <row r="466" spans="10:13" x14ac:dyDescent="0.35">
      <c r="J466" s="21"/>
      <c r="K466" s="21"/>
      <c r="L466"/>
      <c r="M466"/>
    </row>
    <row r="467" spans="10:13" x14ac:dyDescent="0.35">
      <c r="J467" s="21"/>
      <c r="K467" s="21"/>
      <c r="L467"/>
      <c r="M467"/>
    </row>
    <row r="468" spans="10:13" x14ac:dyDescent="0.35">
      <c r="J468" s="21"/>
      <c r="K468" s="21"/>
      <c r="L468"/>
      <c r="M468"/>
    </row>
    <row r="469" spans="10:13" x14ac:dyDescent="0.35">
      <c r="J469" s="21"/>
      <c r="K469" s="21"/>
      <c r="L469"/>
      <c r="M469"/>
    </row>
    <row r="470" spans="10:13" x14ac:dyDescent="0.35">
      <c r="J470" s="21"/>
      <c r="K470" s="21"/>
      <c r="L470"/>
      <c r="M470"/>
    </row>
    <row r="471" spans="10:13" x14ac:dyDescent="0.35">
      <c r="J471" s="21"/>
      <c r="K471" s="21"/>
      <c r="L471"/>
      <c r="M471"/>
    </row>
    <row r="472" spans="10:13" x14ac:dyDescent="0.35">
      <c r="J472" s="21"/>
      <c r="K472" s="21"/>
      <c r="L472"/>
      <c r="M472"/>
    </row>
    <row r="473" spans="10:13" x14ac:dyDescent="0.35">
      <c r="J473" s="21"/>
      <c r="K473" s="21"/>
      <c r="L473"/>
      <c r="M473"/>
    </row>
    <row r="474" spans="10:13" x14ac:dyDescent="0.35">
      <c r="J474" s="21"/>
      <c r="K474" s="21"/>
      <c r="L474"/>
      <c r="M474"/>
    </row>
    <row r="475" spans="10:13" x14ac:dyDescent="0.35">
      <c r="J475" s="21"/>
      <c r="K475" s="21"/>
      <c r="L475"/>
      <c r="M475"/>
    </row>
    <row r="476" spans="10:13" x14ac:dyDescent="0.35">
      <c r="J476" s="21"/>
      <c r="K476" s="21"/>
      <c r="L476"/>
      <c r="M476"/>
    </row>
    <row r="477" spans="10:13" x14ac:dyDescent="0.35">
      <c r="J477" s="21"/>
      <c r="K477" s="21"/>
      <c r="L477"/>
      <c r="M477"/>
    </row>
    <row r="478" spans="10:13" x14ac:dyDescent="0.35">
      <c r="J478" s="21"/>
      <c r="K478" s="21"/>
      <c r="L478"/>
      <c r="M478"/>
    </row>
    <row r="479" spans="10:13" x14ac:dyDescent="0.35">
      <c r="J479" s="21"/>
      <c r="K479" s="21"/>
      <c r="L479"/>
      <c r="M479"/>
    </row>
    <row r="480" spans="10:13" x14ac:dyDescent="0.35">
      <c r="J480" s="21"/>
      <c r="K480" s="21"/>
      <c r="L480"/>
      <c r="M480"/>
    </row>
    <row r="481" spans="10:13" x14ac:dyDescent="0.35">
      <c r="J481" s="21"/>
      <c r="K481" s="21"/>
      <c r="L481"/>
      <c r="M481"/>
    </row>
    <row r="482" spans="10:13" x14ac:dyDescent="0.35">
      <c r="J482" s="21"/>
      <c r="K482" s="21"/>
      <c r="L482"/>
      <c r="M482"/>
    </row>
    <row r="483" spans="10:13" x14ac:dyDescent="0.35">
      <c r="J483" s="21"/>
      <c r="K483" s="21"/>
      <c r="L483"/>
      <c r="M483"/>
    </row>
    <row r="484" spans="10:13" x14ac:dyDescent="0.35">
      <c r="J484" s="21"/>
      <c r="K484" s="21"/>
      <c r="L484"/>
      <c r="M484"/>
    </row>
    <row r="485" spans="10:13" x14ac:dyDescent="0.35">
      <c r="J485" s="21"/>
      <c r="K485" s="21"/>
      <c r="L485"/>
      <c r="M485"/>
    </row>
    <row r="486" spans="10:13" x14ac:dyDescent="0.35">
      <c r="J486" s="21"/>
      <c r="K486" s="21"/>
      <c r="L486"/>
      <c r="M486"/>
    </row>
    <row r="487" spans="10:13" x14ac:dyDescent="0.35">
      <c r="J487" s="21"/>
      <c r="K487" s="21"/>
      <c r="L487"/>
      <c r="M487"/>
    </row>
    <row r="488" spans="10:13" x14ac:dyDescent="0.35">
      <c r="J488" s="21"/>
      <c r="K488" s="21"/>
      <c r="L488"/>
      <c r="M488"/>
    </row>
    <row r="489" spans="10:13" x14ac:dyDescent="0.35">
      <c r="J489" s="21"/>
      <c r="K489" s="21"/>
      <c r="L489"/>
      <c r="M489"/>
    </row>
    <row r="490" spans="10:13" x14ac:dyDescent="0.35">
      <c r="J490" s="21"/>
      <c r="K490" s="21"/>
      <c r="L490"/>
      <c r="M490"/>
    </row>
    <row r="491" spans="10:13" x14ac:dyDescent="0.35">
      <c r="J491" s="21"/>
      <c r="K491" s="21"/>
      <c r="L491"/>
      <c r="M491"/>
    </row>
    <row r="492" spans="10:13" x14ac:dyDescent="0.35">
      <c r="J492" s="21"/>
      <c r="K492" s="21"/>
      <c r="L492"/>
      <c r="M492"/>
    </row>
    <row r="493" spans="10:13" x14ac:dyDescent="0.35">
      <c r="J493" s="21"/>
      <c r="K493" s="21"/>
      <c r="L493"/>
      <c r="M493"/>
    </row>
    <row r="494" spans="10:13" x14ac:dyDescent="0.35">
      <c r="J494" s="21"/>
      <c r="K494" s="21"/>
      <c r="L494"/>
      <c r="M494"/>
    </row>
    <row r="495" spans="10:13" x14ac:dyDescent="0.35">
      <c r="J495" s="21"/>
      <c r="K495" s="21"/>
      <c r="L495"/>
      <c r="M495"/>
    </row>
    <row r="496" spans="10:13" x14ac:dyDescent="0.35">
      <c r="J496" s="21"/>
      <c r="K496" s="21"/>
      <c r="L496"/>
      <c r="M496"/>
    </row>
    <row r="497" spans="10:13" x14ac:dyDescent="0.35">
      <c r="J497" s="21"/>
      <c r="K497" s="21"/>
      <c r="L497"/>
      <c r="M497"/>
    </row>
    <row r="498" spans="10:13" x14ac:dyDescent="0.35">
      <c r="J498" s="21"/>
      <c r="K498" s="21"/>
      <c r="L498"/>
      <c r="M498"/>
    </row>
    <row r="499" spans="10:13" x14ac:dyDescent="0.35">
      <c r="J499" s="21"/>
      <c r="K499" s="21"/>
      <c r="L499"/>
      <c r="M499"/>
    </row>
    <row r="500" spans="10:13" x14ac:dyDescent="0.35">
      <c r="J500" s="21"/>
      <c r="K500" s="21"/>
      <c r="L500"/>
      <c r="M500"/>
    </row>
    <row r="501" spans="10:13" x14ac:dyDescent="0.35">
      <c r="J501" s="21"/>
      <c r="K501" s="21"/>
      <c r="L501"/>
      <c r="M501"/>
    </row>
    <row r="502" spans="10:13" x14ac:dyDescent="0.35">
      <c r="J502" s="21"/>
      <c r="K502" s="21"/>
      <c r="L502"/>
      <c r="M502"/>
    </row>
    <row r="503" spans="10:13" x14ac:dyDescent="0.35">
      <c r="J503" s="21"/>
      <c r="K503" s="21"/>
      <c r="L503"/>
      <c r="M503"/>
    </row>
    <row r="504" spans="10:13" x14ac:dyDescent="0.35">
      <c r="J504" s="21"/>
      <c r="K504" s="21"/>
      <c r="L504"/>
      <c r="M504"/>
    </row>
    <row r="505" spans="10:13" x14ac:dyDescent="0.35">
      <c r="J505" s="21"/>
      <c r="K505" s="21"/>
      <c r="L505"/>
      <c r="M505"/>
    </row>
    <row r="506" spans="10:13" x14ac:dyDescent="0.35">
      <c r="J506" s="21"/>
      <c r="K506" s="21"/>
      <c r="L506"/>
      <c r="M506"/>
    </row>
    <row r="507" spans="10:13" x14ac:dyDescent="0.35">
      <c r="J507" s="21"/>
      <c r="K507" s="21"/>
      <c r="L507"/>
      <c r="M507"/>
    </row>
    <row r="508" spans="10:13" x14ac:dyDescent="0.35">
      <c r="J508" s="21"/>
      <c r="K508" s="21"/>
      <c r="L508"/>
      <c r="M508"/>
    </row>
    <row r="509" spans="10:13" x14ac:dyDescent="0.35">
      <c r="J509" s="21"/>
      <c r="K509" s="21"/>
      <c r="L509"/>
      <c r="M509"/>
    </row>
    <row r="510" spans="10:13" x14ac:dyDescent="0.35">
      <c r="J510" s="21"/>
      <c r="K510" s="21"/>
      <c r="L510"/>
      <c r="M510"/>
    </row>
    <row r="511" spans="10:13" x14ac:dyDescent="0.35">
      <c r="J511" s="21"/>
      <c r="K511" s="21"/>
      <c r="L511"/>
      <c r="M511"/>
    </row>
    <row r="512" spans="10:13" x14ac:dyDescent="0.35">
      <c r="J512" s="21"/>
      <c r="K512" s="21"/>
      <c r="L512"/>
      <c r="M512"/>
    </row>
    <row r="513" spans="10:13" x14ac:dyDescent="0.35">
      <c r="J513" s="21"/>
      <c r="K513" s="21"/>
      <c r="L513"/>
      <c r="M513"/>
    </row>
    <row r="514" spans="10:13" x14ac:dyDescent="0.35">
      <c r="J514" s="21"/>
      <c r="K514" s="21"/>
      <c r="L514"/>
      <c r="M514"/>
    </row>
    <row r="515" spans="10:13" x14ac:dyDescent="0.35">
      <c r="J515" s="21"/>
      <c r="K515" s="21"/>
      <c r="L515"/>
      <c r="M515"/>
    </row>
    <row r="516" spans="10:13" x14ac:dyDescent="0.35">
      <c r="J516" s="21"/>
      <c r="K516" s="21"/>
      <c r="L516"/>
      <c r="M516"/>
    </row>
    <row r="517" spans="10:13" x14ac:dyDescent="0.35">
      <c r="J517" s="21"/>
      <c r="K517" s="21"/>
      <c r="L517"/>
      <c r="M517"/>
    </row>
    <row r="518" spans="10:13" x14ac:dyDescent="0.35">
      <c r="J518" s="21"/>
      <c r="K518" s="21"/>
      <c r="L518"/>
      <c r="M518"/>
    </row>
    <row r="519" spans="10:13" x14ac:dyDescent="0.35">
      <c r="J519" s="21"/>
      <c r="K519" s="21"/>
      <c r="L519"/>
      <c r="M519"/>
    </row>
    <row r="520" spans="10:13" x14ac:dyDescent="0.35">
      <c r="J520" s="21"/>
      <c r="K520" s="21"/>
      <c r="L520"/>
      <c r="M520"/>
    </row>
    <row r="521" spans="10:13" x14ac:dyDescent="0.35">
      <c r="J521" s="21"/>
      <c r="K521" s="21"/>
      <c r="L521"/>
      <c r="M521"/>
    </row>
    <row r="522" spans="10:13" x14ac:dyDescent="0.35">
      <c r="J522" s="21"/>
      <c r="K522" s="21"/>
      <c r="L522"/>
      <c r="M522"/>
    </row>
    <row r="523" spans="10:13" x14ac:dyDescent="0.35">
      <c r="J523" s="21"/>
      <c r="K523" s="21"/>
      <c r="L523"/>
      <c r="M523"/>
    </row>
    <row r="524" spans="10:13" x14ac:dyDescent="0.35">
      <c r="J524" s="21"/>
      <c r="K524" s="21"/>
      <c r="L524"/>
      <c r="M524"/>
    </row>
    <row r="525" spans="10:13" x14ac:dyDescent="0.35">
      <c r="J525" s="21"/>
      <c r="K525" s="21"/>
      <c r="L525"/>
      <c r="M525"/>
    </row>
    <row r="526" spans="10:13" x14ac:dyDescent="0.35">
      <c r="J526" s="21"/>
      <c r="K526" s="21"/>
      <c r="L526"/>
      <c r="M526"/>
    </row>
    <row r="527" spans="10:13" x14ac:dyDescent="0.35">
      <c r="J527" s="21"/>
      <c r="K527" s="21"/>
      <c r="L527"/>
      <c r="M527"/>
    </row>
    <row r="528" spans="10:13" x14ac:dyDescent="0.35">
      <c r="J528" s="21"/>
      <c r="K528" s="21"/>
      <c r="L528"/>
      <c r="M528"/>
    </row>
    <row r="529" spans="10:13" x14ac:dyDescent="0.35">
      <c r="J529" s="21"/>
      <c r="K529" s="21"/>
      <c r="L529"/>
      <c r="M529"/>
    </row>
    <row r="530" spans="10:13" x14ac:dyDescent="0.35">
      <c r="J530" s="21"/>
      <c r="K530" s="21"/>
      <c r="L530"/>
      <c r="M530"/>
    </row>
    <row r="531" spans="10:13" x14ac:dyDescent="0.35">
      <c r="J531" s="21"/>
      <c r="K531" s="21"/>
      <c r="L531"/>
      <c r="M531"/>
    </row>
    <row r="532" spans="10:13" x14ac:dyDescent="0.35">
      <c r="J532" s="21"/>
      <c r="K532" s="21"/>
      <c r="L532"/>
      <c r="M532"/>
    </row>
    <row r="533" spans="10:13" x14ac:dyDescent="0.35">
      <c r="J533" s="21"/>
      <c r="K533" s="21"/>
      <c r="L533"/>
      <c r="M533"/>
    </row>
    <row r="534" spans="10:13" x14ac:dyDescent="0.35">
      <c r="J534" s="21"/>
      <c r="K534" s="21"/>
      <c r="L534"/>
      <c r="M534"/>
    </row>
    <row r="535" spans="10:13" x14ac:dyDescent="0.35">
      <c r="J535" s="21"/>
      <c r="K535" s="21"/>
      <c r="L535"/>
      <c r="M535"/>
    </row>
    <row r="536" spans="10:13" x14ac:dyDescent="0.35">
      <c r="J536" s="21"/>
      <c r="K536" s="21"/>
      <c r="L536"/>
      <c r="M536"/>
    </row>
    <row r="537" spans="10:13" x14ac:dyDescent="0.35">
      <c r="J537" s="21"/>
      <c r="K537" s="21"/>
      <c r="L537"/>
      <c r="M537"/>
    </row>
    <row r="538" spans="10:13" x14ac:dyDescent="0.35">
      <c r="J538" s="21"/>
      <c r="K538" s="21"/>
      <c r="L538"/>
      <c r="M538"/>
    </row>
    <row r="539" spans="10:13" x14ac:dyDescent="0.35">
      <c r="J539" s="21"/>
      <c r="K539" s="21"/>
      <c r="L539"/>
      <c r="M539"/>
    </row>
    <row r="540" spans="10:13" x14ac:dyDescent="0.35">
      <c r="J540" s="21"/>
      <c r="K540" s="21"/>
      <c r="L540"/>
      <c r="M540"/>
    </row>
    <row r="541" spans="10:13" x14ac:dyDescent="0.35">
      <c r="J541" s="21"/>
      <c r="K541" s="21"/>
      <c r="L541"/>
      <c r="M541"/>
    </row>
    <row r="542" spans="10:13" x14ac:dyDescent="0.35">
      <c r="J542" s="21"/>
      <c r="K542" s="21"/>
      <c r="L542"/>
      <c r="M542"/>
    </row>
    <row r="543" spans="10:13" x14ac:dyDescent="0.35">
      <c r="J543" s="21"/>
      <c r="K543" s="21"/>
      <c r="L543"/>
      <c r="M543"/>
    </row>
    <row r="544" spans="10:13" x14ac:dyDescent="0.35">
      <c r="J544" s="21"/>
      <c r="K544" s="21"/>
      <c r="L544"/>
      <c r="M544"/>
    </row>
    <row r="545" spans="10:13" x14ac:dyDescent="0.35">
      <c r="J545" s="21"/>
      <c r="K545" s="21"/>
      <c r="L545"/>
      <c r="M545"/>
    </row>
    <row r="546" spans="10:13" x14ac:dyDescent="0.35">
      <c r="J546" s="21"/>
      <c r="K546" s="21"/>
      <c r="L546"/>
      <c r="M546"/>
    </row>
    <row r="547" spans="10:13" x14ac:dyDescent="0.35">
      <c r="J547" s="21"/>
      <c r="K547" s="21"/>
      <c r="L547"/>
      <c r="M547"/>
    </row>
    <row r="548" spans="10:13" x14ac:dyDescent="0.35">
      <c r="J548" s="21"/>
      <c r="K548" s="21"/>
      <c r="L548"/>
      <c r="M548"/>
    </row>
    <row r="549" spans="10:13" x14ac:dyDescent="0.35">
      <c r="J549" s="21"/>
      <c r="K549" s="21"/>
      <c r="L549"/>
      <c r="M549"/>
    </row>
    <row r="550" spans="10:13" x14ac:dyDescent="0.35">
      <c r="J550" s="21"/>
      <c r="K550" s="21"/>
      <c r="L550"/>
      <c r="M550"/>
    </row>
    <row r="551" spans="10:13" x14ac:dyDescent="0.35">
      <c r="J551" s="21"/>
      <c r="K551" s="21"/>
      <c r="L551"/>
      <c r="M551"/>
    </row>
    <row r="552" spans="10:13" x14ac:dyDescent="0.35">
      <c r="J552" s="21"/>
      <c r="K552" s="21"/>
      <c r="L552"/>
      <c r="M552"/>
    </row>
    <row r="553" spans="10:13" x14ac:dyDescent="0.35">
      <c r="J553" s="21"/>
      <c r="K553" s="21"/>
      <c r="L553"/>
      <c r="M553"/>
    </row>
    <row r="554" spans="10:13" x14ac:dyDescent="0.35">
      <c r="J554" s="21"/>
      <c r="K554" s="21"/>
      <c r="L554"/>
      <c r="M554"/>
    </row>
    <row r="555" spans="10:13" x14ac:dyDescent="0.35">
      <c r="J555" s="21"/>
      <c r="K555" s="21"/>
      <c r="L555"/>
      <c r="M555"/>
    </row>
    <row r="556" spans="10:13" x14ac:dyDescent="0.35">
      <c r="J556" s="21"/>
      <c r="K556" s="21"/>
      <c r="L556"/>
      <c r="M556"/>
    </row>
    <row r="557" spans="10:13" x14ac:dyDescent="0.35">
      <c r="J557" s="21"/>
      <c r="K557" s="21"/>
      <c r="L557"/>
      <c r="M557"/>
    </row>
    <row r="558" spans="10:13" x14ac:dyDescent="0.35">
      <c r="J558" s="21"/>
      <c r="K558" s="21"/>
      <c r="L558"/>
      <c r="M558"/>
    </row>
    <row r="559" spans="10:13" x14ac:dyDescent="0.35">
      <c r="J559" s="21"/>
      <c r="K559" s="21"/>
      <c r="L559"/>
      <c r="M559"/>
    </row>
    <row r="560" spans="10:13" x14ac:dyDescent="0.35">
      <c r="J560" s="21"/>
      <c r="K560" s="21"/>
      <c r="L560"/>
      <c r="M560"/>
    </row>
    <row r="561" spans="10:13" x14ac:dyDescent="0.35">
      <c r="J561" s="21"/>
      <c r="K561" s="21"/>
      <c r="L561"/>
      <c r="M561"/>
    </row>
    <row r="562" spans="10:13" x14ac:dyDescent="0.35">
      <c r="J562" s="21"/>
      <c r="K562" s="21"/>
      <c r="L562"/>
      <c r="M562"/>
    </row>
    <row r="563" spans="10:13" x14ac:dyDescent="0.35">
      <c r="J563" s="21"/>
      <c r="K563" s="21"/>
      <c r="L563"/>
      <c r="M563"/>
    </row>
    <row r="564" spans="10:13" x14ac:dyDescent="0.35">
      <c r="J564" s="21"/>
      <c r="K564" s="21"/>
      <c r="L564"/>
      <c r="M564"/>
    </row>
    <row r="565" spans="10:13" x14ac:dyDescent="0.35">
      <c r="J565" s="21"/>
      <c r="K565" s="21"/>
      <c r="L565"/>
      <c r="M565"/>
    </row>
    <row r="566" spans="10:13" x14ac:dyDescent="0.35">
      <c r="J566" s="21"/>
      <c r="K566" s="21"/>
      <c r="L566"/>
      <c r="M566"/>
    </row>
    <row r="567" spans="10:13" x14ac:dyDescent="0.35">
      <c r="J567" s="21"/>
      <c r="K567" s="21"/>
      <c r="L567"/>
      <c r="M567"/>
    </row>
    <row r="568" spans="10:13" x14ac:dyDescent="0.35">
      <c r="J568" s="21"/>
      <c r="K568" s="21"/>
      <c r="L568"/>
      <c r="M568"/>
    </row>
    <row r="569" spans="10:13" x14ac:dyDescent="0.35">
      <c r="J569" s="21"/>
      <c r="K569" s="21"/>
      <c r="L569"/>
      <c r="M569"/>
    </row>
    <row r="570" spans="10:13" x14ac:dyDescent="0.35">
      <c r="J570" s="21"/>
      <c r="K570" s="21"/>
      <c r="L570"/>
      <c r="M570"/>
    </row>
    <row r="571" spans="10:13" x14ac:dyDescent="0.35">
      <c r="J571" s="21"/>
      <c r="K571" s="21"/>
      <c r="L571"/>
      <c r="M571"/>
    </row>
    <row r="572" spans="10:13" x14ac:dyDescent="0.35">
      <c r="J572" s="21"/>
      <c r="K572" s="21"/>
      <c r="L572"/>
      <c r="M572"/>
    </row>
    <row r="573" spans="10:13" x14ac:dyDescent="0.35">
      <c r="J573" s="21"/>
      <c r="K573" s="21"/>
      <c r="L573"/>
      <c r="M573"/>
    </row>
    <row r="574" spans="10:13" x14ac:dyDescent="0.35">
      <c r="J574" s="21"/>
      <c r="K574" s="21"/>
      <c r="L574"/>
      <c r="M574"/>
    </row>
    <row r="575" spans="10:13" x14ac:dyDescent="0.35">
      <c r="J575" s="21"/>
      <c r="K575" s="21"/>
      <c r="L575"/>
      <c r="M575"/>
    </row>
    <row r="576" spans="10:13" x14ac:dyDescent="0.35">
      <c r="J576" s="21"/>
      <c r="K576" s="21"/>
      <c r="L576"/>
      <c r="M576"/>
    </row>
    <row r="577" spans="10:13" x14ac:dyDescent="0.35">
      <c r="J577" s="21"/>
      <c r="K577" s="21"/>
      <c r="L577"/>
      <c r="M577"/>
    </row>
    <row r="578" spans="10:13" x14ac:dyDescent="0.35">
      <c r="J578" s="21"/>
      <c r="K578" s="21"/>
      <c r="L578"/>
      <c r="M578"/>
    </row>
    <row r="579" spans="10:13" x14ac:dyDescent="0.35">
      <c r="J579" s="21"/>
      <c r="K579" s="21"/>
      <c r="L579"/>
      <c r="M579"/>
    </row>
    <row r="580" spans="10:13" x14ac:dyDescent="0.35">
      <c r="J580" s="21"/>
      <c r="K580" s="21"/>
      <c r="L580"/>
      <c r="M580"/>
    </row>
    <row r="581" spans="10:13" x14ac:dyDescent="0.35">
      <c r="J581" s="21"/>
      <c r="K581" s="21"/>
      <c r="L581"/>
      <c r="M581"/>
    </row>
    <row r="582" spans="10:13" x14ac:dyDescent="0.35">
      <c r="J582" s="21"/>
      <c r="K582" s="21"/>
      <c r="L582"/>
      <c r="M582"/>
    </row>
    <row r="583" spans="10:13" x14ac:dyDescent="0.35">
      <c r="J583" s="21"/>
      <c r="K583" s="21"/>
      <c r="L583"/>
      <c r="M583"/>
    </row>
    <row r="584" spans="10:13" x14ac:dyDescent="0.35">
      <c r="J584" s="21"/>
      <c r="K584" s="21"/>
      <c r="L584"/>
      <c r="M584"/>
    </row>
    <row r="585" spans="10:13" x14ac:dyDescent="0.35">
      <c r="J585" s="21"/>
      <c r="K585" s="21"/>
      <c r="L585"/>
      <c r="M585"/>
    </row>
    <row r="586" spans="10:13" x14ac:dyDescent="0.35">
      <c r="J586" s="21"/>
      <c r="K586" s="21"/>
      <c r="L586"/>
      <c r="M586"/>
    </row>
    <row r="587" spans="10:13" x14ac:dyDescent="0.35">
      <c r="J587" s="21"/>
      <c r="K587" s="21"/>
      <c r="L587"/>
      <c r="M587"/>
    </row>
    <row r="588" spans="10:13" x14ac:dyDescent="0.35">
      <c r="J588" s="21"/>
      <c r="K588" s="21"/>
      <c r="L588"/>
      <c r="M588"/>
    </row>
    <row r="589" spans="10:13" x14ac:dyDescent="0.35">
      <c r="J589" s="21"/>
      <c r="K589" s="21"/>
      <c r="L589"/>
      <c r="M589"/>
    </row>
    <row r="590" spans="10:13" x14ac:dyDescent="0.35">
      <c r="J590" s="21"/>
      <c r="K590" s="21"/>
      <c r="L590"/>
      <c r="M590"/>
    </row>
    <row r="591" spans="10:13" x14ac:dyDescent="0.35">
      <c r="J591" s="21"/>
      <c r="K591" s="21"/>
      <c r="L591"/>
      <c r="M591"/>
    </row>
    <row r="592" spans="10:13" x14ac:dyDescent="0.35">
      <c r="J592" s="21"/>
      <c r="K592" s="21"/>
      <c r="L592"/>
      <c r="M592"/>
    </row>
    <row r="593" spans="10:13" x14ac:dyDescent="0.35">
      <c r="J593" s="21"/>
      <c r="K593" s="21"/>
      <c r="L593"/>
      <c r="M593"/>
    </row>
    <row r="594" spans="10:13" x14ac:dyDescent="0.35">
      <c r="J594" s="21"/>
      <c r="K594" s="21"/>
      <c r="L594"/>
      <c r="M594"/>
    </row>
    <row r="595" spans="10:13" x14ac:dyDescent="0.35">
      <c r="J595" s="21"/>
      <c r="K595" s="21"/>
      <c r="L595"/>
      <c r="M595"/>
    </row>
    <row r="596" spans="10:13" x14ac:dyDescent="0.35">
      <c r="J596" s="21"/>
      <c r="K596" s="21"/>
      <c r="L596"/>
      <c r="M596"/>
    </row>
    <row r="597" spans="10:13" x14ac:dyDescent="0.35">
      <c r="J597" s="21"/>
      <c r="K597" s="21"/>
      <c r="L597"/>
      <c r="M597"/>
    </row>
    <row r="598" spans="10:13" x14ac:dyDescent="0.35">
      <c r="J598" s="21"/>
      <c r="K598" s="21"/>
      <c r="L598"/>
      <c r="M598"/>
    </row>
    <row r="599" spans="10:13" x14ac:dyDescent="0.35">
      <c r="J599" s="21"/>
      <c r="K599" s="21"/>
      <c r="L599"/>
      <c r="M599"/>
    </row>
    <row r="600" spans="10:13" x14ac:dyDescent="0.35">
      <c r="J600" s="21"/>
      <c r="K600" s="21"/>
      <c r="L600"/>
      <c r="M600"/>
    </row>
    <row r="601" spans="10:13" x14ac:dyDescent="0.35">
      <c r="J601" s="21"/>
      <c r="K601" s="21"/>
      <c r="L601"/>
      <c r="M601"/>
    </row>
    <row r="602" spans="10:13" x14ac:dyDescent="0.35">
      <c r="J602" s="21"/>
      <c r="K602" s="21"/>
      <c r="L602"/>
      <c r="M602"/>
    </row>
    <row r="603" spans="10:13" x14ac:dyDescent="0.35">
      <c r="J603" s="21"/>
      <c r="K603" s="21"/>
      <c r="L603"/>
      <c r="M603"/>
    </row>
    <row r="604" spans="10:13" x14ac:dyDescent="0.35">
      <c r="J604" s="21"/>
      <c r="K604" s="21"/>
      <c r="L604"/>
      <c r="M604"/>
    </row>
    <row r="605" spans="10:13" x14ac:dyDescent="0.35">
      <c r="J605" s="21"/>
      <c r="K605" s="21"/>
      <c r="L605"/>
      <c r="M605"/>
    </row>
    <row r="606" spans="10:13" x14ac:dyDescent="0.35">
      <c r="J606" s="21"/>
      <c r="K606" s="21"/>
      <c r="L606"/>
      <c r="M606"/>
    </row>
    <row r="607" spans="10:13" x14ac:dyDescent="0.35">
      <c r="J607" s="21"/>
      <c r="K607" s="21"/>
      <c r="L607"/>
      <c r="M607"/>
    </row>
    <row r="608" spans="10:13" x14ac:dyDescent="0.35">
      <c r="J608" s="21"/>
      <c r="K608" s="21"/>
      <c r="L608"/>
      <c r="M608"/>
    </row>
    <row r="609" spans="10:13" x14ac:dyDescent="0.35">
      <c r="J609" s="21"/>
      <c r="K609" s="21"/>
      <c r="L609"/>
      <c r="M609"/>
    </row>
    <row r="610" spans="10:13" x14ac:dyDescent="0.35">
      <c r="J610" s="21"/>
      <c r="K610" s="21"/>
      <c r="L610"/>
      <c r="M610"/>
    </row>
    <row r="611" spans="10:13" x14ac:dyDescent="0.35">
      <c r="J611" s="21"/>
      <c r="K611" s="21"/>
      <c r="L611"/>
      <c r="M611"/>
    </row>
    <row r="612" spans="10:13" x14ac:dyDescent="0.35">
      <c r="J612" s="21"/>
      <c r="K612" s="21"/>
      <c r="L612"/>
      <c r="M612"/>
    </row>
    <row r="613" spans="10:13" x14ac:dyDescent="0.35">
      <c r="J613" s="21"/>
      <c r="K613" s="21"/>
      <c r="L613"/>
      <c r="M613"/>
    </row>
    <row r="614" spans="10:13" x14ac:dyDescent="0.35">
      <c r="J614" s="21"/>
      <c r="K614" s="21"/>
      <c r="L614"/>
      <c r="M614"/>
    </row>
    <row r="615" spans="10:13" x14ac:dyDescent="0.35">
      <c r="J615" s="21"/>
      <c r="K615" s="21"/>
      <c r="L615"/>
      <c r="M615"/>
    </row>
    <row r="616" spans="10:13" x14ac:dyDescent="0.35">
      <c r="J616" s="21"/>
      <c r="K616" s="21"/>
      <c r="L616"/>
      <c r="M616"/>
    </row>
    <row r="617" spans="10:13" x14ac:dyDescent="0.35">
      <c r="J617" s="21"/>
      <c r="K617" s="21"/>
      <c r="L617"/>
      <c r="M617"/>
    </row>
    <row r="618" spans="10:13" x14ac:dyDescent="0.35">
      <c r="J618" s="21"/>
      <c r="K618" s="21"/>
      <c r="L618"/>
      <c r="M618"/>
    </row>
    <row r="619" spans="10:13" x14ac:dyDescent="0.35">
      <c r="J619" s="21"/>
      <c r="K619" s="21"/>
      <c r="L619"/>
      <c r="M619"/>
    </row>
    <row r="620" spans="10:13" x14ac:dyDescent="0.35">
      <c r="J620" s="21"/>
      <c r="K620" s="21"/>
      <c r="L620"/>
      <c r="M620"/>
    </row>
    <row r="621" spans="10:13" x14ac:dyDescent="0.35">
      <c r="J621" s="21"/>
      <c r="K621" s="21"/>
      <c r="L621"/>
      <c r="M621"/>
    </row>
    <row r="622" spans="10:13" x14ac:dyDescent="0.35">
      <c r="J622" s="21"/>
      <c r="K622" s="21"/>
      <c r="L622"/>
      <c r="M622"/>
    </row>
    <row r="623" spans="10:13" x14ac:dyDescent="0.35">
      <c r="J623" s="21"/>
      <c r="K623" s="21"/>
      <c r="L623"/>
      <c r="M623"/>
    </row>
    <row r="624" spans="10:13" x14ac:dyDescent="0.35">
      <c r="J624" s="21"/>
      <c r="K624" s="21"/>
      <c r="L624"/>
      <c r="M624"/>
    </row>
    <row r="625" spans="10:13" x14ac:dyDescent="0.35">
      <c r="J625" s="21"/>
      <c r="K625" s="21"/>
      <c r="L625"/>
      <c r="M625"/>
    </row>
    <row r="626" spans="10:13" x14ac:dyDescent="0.35">
      <c r="J626" s="21"/>
      <c r="K626" s="21"/>
      <c r="L626"/>
      <c r="M626"/>
    </row>
    <row r="627" spans="10:13" x14ac:dyDescent="0.35">
      <c r="J627" s="21"/>
      <c r="K627" s="21"/>
      <c r="L627"/>
      <c r="M627"/>
    </row>
    <row r="628" spans="10:13" x14ac:dyDescent="0.35">
      <c r="J628" s="21"/>
      <c r="K628" s="21"/>
      <c r="L628"/>
      <c r="M628"/>
    </row>
    <row r="629" spans="10:13" x14ac:dyDescent="0.35">
      <c r="J629" s="21"/>
      <c r="K629" s="21"/>
      <c r="L629"/>
      <c r="M629"/>
    </row>
    <row r="630" spans="10:13" x14ac:dyDescent="0.35">
      <c r="J630" s="21"/>
      <c r="K630" s="21"/>
      <c r="L630"/>
      <c r="M630"/>
    </row>
    <row r="631" spans="10:13" x14ac:dyDescent="0.35">
      <c r="J631" s="21"/>
      <c r="K631" s="21"/>
      <c r="L631"/>
      <c r="M631"/>
    </row>
    <row r="632" spans="10:13" x14ac:dyDescent="0.35">
      <c r="J632" s="21"/>
      <c r="K632" s="21"/>
      <c r="L632"/>
      <c r="M632"/>
    </row>
    <row r="633" spans="10:13" x14ac:dyDescent="0.35">
      <c r="J633" s="21"/>
      <c r="K633" s="21"/>
      <c r="L633"/>
      <c r="M633"/>
    </row>
    <row r="634" spans="10:13" x14ac:dyDescent="0.35">
      <c r="J634" s="21"/>
      <c r="K634" s="21"/>
      <c r="L634"/>
      <c r="M634"/>
    </row>
    <row r="635" spans="10:13" x14ac:dyDescent="0.35">
      <c r="J635" s="21"/>
      <c r="K635" s="21"/>
      <c r="L635"/>
      <c r="M635"/>
    </row>
    <row r="636" spans="10:13" x14ac:dyDescent="0.35">
      <c r="J636" s="21"/>
      <c r="K636" s="21"/>
      <c r="L636"/>
      <c r="M636"/>
    </row>
    <row r="637" spans="10:13" x14ac:dyDescent="0.35">
      <c r="J637" s="21"/>
      <c r="K637" s="21"/>
      <c r="L637"/>
      <c r="M637"/>
    </row>
    <row r="638" spans="10:13" x14ac:dyDescent="0.35">
      <c r="J638" s="21"/>
      <c r="K638" s="21"/>
      <c r="L638"/>
      <c r="M638"/>
    </row>
    <row r="639" spans="10:13" x14ac:dyDescent="0.35">
      <c r="J639" s="21"/>
      <c r="K639" s="21"/>
      <c r="L639"/>
      <c r="M639"/>
    </row>
    <row r="640" spans="10:13" x14ac:dyDescent="0.35">
      <c r="J640" s="21"/>
      <c r="K640" s="21"/>
      <c r="L640"/>
      <c r="M640"/>
    </row>
    <row r="641" spans="10:13" x14ac:dyDescent="0.35">
      <c r="J641" s="21"/>
      <c r="K641" s="21"/>
      <c r="L641"/>
      <c r="M641"/>
    </row>
    <row r="642" spans="10:13" x14ac:dyDescent="0.35">
      <c r="J642" s="21"/>
      <c r="K642" s="21"/>
      <c r="L642"/>
      <c r="M642"/>
    </row>
    <row r="643" spans="10:13" x14ac:dyDescent="0.35">
      <c r="J643" s="21"/>
      <c r="K643" s="21"/>
      <c r="L643"/>
      <c r="M643"/>
    </row>
    <row r="644" spans="10:13" x14ac:dyDescent="0.35">
      <c r="J644" s="21"/>
      <c r="K644" s="21"/>
      <c r="L644"/>
      <c r="M644"/>
    </row>
    <row r="645" spans="10:13" x14ac:dyDescent="0.35">
      <c r="J645" s="21"/>
      <c r="K645" s="21"/>
      <c r="L645"/>
      <c r="M645"/>
    </row>
    <row r="646" spans="10:13" x14ac:dyDescent="0.35">
      <c r="J646" s="21"/>
      <c r="K646" s="21"/>
      <c r="L646"/>
      <c r="M646"/>
    </row>
    <row r="647" spans="10:13" x14ac:dyDescent="0.35">
      <c r="J647" s="21"/>
      <c r="K647" s="21"/>
      <c r="L647"/>
      <c r="M647"/>
    </row>
    <row r="648" spans="10:13" x14ac:dyDescent="0.35">
      <c r="J648" s="21"/>
      <c r="K648" s="21"/>
      <c r="L648"/>
      <c r="M648"/>
    </row>
    <row r="649" spans="10:13" x14ac:dyDescent="0.35">
      <c r="J649" s="21"/>
      <c r="K649" s="21"/>
      <c r="L649"/>
      <c r="M649"/>
    </row>
    <row r="650" spans="10:13" x14ac:dyDescent="0.35">
      <c r="J650" s="21"/>
      <c r="K650" s="21"/>
      <c r="L650"/>
      <c r="M650"/>
    </row>
    <row r="651" spans="10:13" x14ac:dyDescent="0.35">
      <c r="J651" s="21"/>
      <c r="K651" s="21"/>
      <c r="L651"/>
      <c r="M651"/>
    </row>
    <row r="652" spans="10:13" x14ac:dyDescent="0.35">
      <c r="J652" s="21"/>
      <c r="K652" s="21"/>
      <c r="L652"/>
      <c r="M652"/>
    </row>
    <row r="653" spans="10:13" x14ac:dyDescent="0.35">
      <c r="J653" s="21"/>
      <c r="K653" s="21"/>
      <c r="L653"/>
      <c r="M653"/>
    </row>
    <row r="654" spans="10:13" x14ac:dyDescent="0.35">
      <c r="J654" s="21"/>
      <c r="K654" s="21"/>
      <c r="L654"/>
      <c r="M654"/>
    </row>
    <row r="655" spans="10:13" x14ac:dyDescent="0.35">
      <c r="J655" s="21"/>
      <c r="K655" s="21"/>
      <c r="L655"/>
      <c r="M655"/>
    </row>
    <row r="656" spans="10:13" x14ac:dyDescent="0.35">
      <c r="J656" s="21"/>
      <c r="K656" s="21"/>
      <c r="L656"/>
      <c r="M656"/>
    </row>
    <row r="657" spans="10:13" x14ac:dyDescent="0.35">
      <c r="J657" s="21"/>
      <c r="K657" s="21"/>
      <c r="L657"/>
      <c r="M657"/>
    </row>
    <row r="658" spans="10:13" x14ac:dyDescent="0.35">
      <c r="J658" s="21"/>
      <c r="K658" s="21"/>
      <c r="L658"/>
      <c r="M658"/>
    </row>
    <row r="659" spans="10:13" x14ac:dyDescent="0.35">
      <c r="J659" s="21"/>
      <c r="K659" s="21"/>
      <c r="L659"/>
      <c r="M659"/>
    </row>
    <row r="660" spans="10:13" x14ac:dyDescent="0.35">
      <c r="J660" s="21"/>
      <c r="K660" s="21"/>
      <c r="L660"/>
      <c r="M660"/>
    </row>
    <row r="661" spans="10:13" x14ac:dyDescent="0.35">
      <c r="J661" s="21"/>
      <c r="K661" s="21"/>
      <c r="L661"/>
      <c r="M661"/>
    </row>
    <row r="662" spans="10:13" x14ac:dyDescent="0.35">
      <c r="J662" s="21"/>
      <c r="K662" s="21"/>
      <c r="L662"/>
      <c r="M662"/>
    </row>
    <row r="663" spans="10:13" x14ac:dyDescent="0.35">
      <c r="J663" s="21"/>
      <c r="K663" s="21"/>
      <c r="L663"/>
      <c r="M663"/>
    </row>
    <row r="664" spans="10:13" x14ac:dyDescent="0.35">
      <c r="J664" s="21"/>
      <c r="K664" s="21"/>
      <c r="L664"/>
      <c r="M664"/>
    </row>
    <row r="665" spans="10:13" x14ac:dyDescent="0.35">
      <c r="J665" s="21"/>
      <c r="K665" s="21"/>
      <c r="L665"/>
      <c r="M665"/>
    </row>
    <row r="666" spans="10:13" x14ac:dyDescent="0.35">
      <c r="J666" s="21"/>
      <c r="K666" s="21"/>
      <c r="L666"/>
      <c r="M666"/>
    </row>
    <row r="667" spans="10:13" x14ac:dyDescent="0.35">
      <c r="J667" s="21"/>
      <c r="K667" s="21"/>
      <c r="L667"/>
      <c r="M667"/>
    </row>
    <row r="668" spans="10:13" x14ac:dyDescent="0.35">
      <c r="J668" s="21"/>
      <c r="K668" s="21"/>
      <c r="L668"/>
      <c r="M668"/>
    </row>
    <row r="669" spans="10:13" x14ac:dyDescent="0.35">
      <c r="J669" s="21"/>
      <c r="K669" s="21"/>
      <c r="L669"/>
      <c r="M669"/>
    </row>
    <row r="670" spans="10:13" x14ac:dyDescent="0.35">
      <c r="J670" s="21"/>
      <c r="K670" s="21"/>
      <c r="L670"/>
      <c r="M670"/>
    </row>
    <row r="671" spans="10:13" x14ac:dyDescent="0.35">
      <c r="J671" s="21"/>
      <c r="K671" s="21"/>
      <c r="L671"/>
      <c r="M671"/>
    </row>
    <row r="672" spans="10:13" x14ac:dyDescent="0.35">
      <c r="J672" s="21"/>
      <c r="K672" s="21"/>
      <c r="L672"/>
      <c r="M672"/>
    </row>
    <row r="673" spans="10:13" x14ac:dyDescent="0.35">
      <c r="J673" s="21"/>
      <c r="K673" s="21"/>
      <c r="L673"/>
      <c r="M673"/>
    </row>
    <row r="674" spans="10:13" x14ac:dyDescent="0.35">
      <c r="J674" s="21"/>
      <c r="K674" s="21"/>
      <c r="L674"/>
      <c r="M674"/>
    </row>
    <row r="675" spans="10:13" x14ac:dyDescent="0.35">
      <c r="J675" s="21"/>
      <c r="K675" s="21"/>
      <c r="L675"/>
      <c r="M675"/>
    </row>
    <row r="676" spans="10:13" x14ac:dyDescent="0.35">
      <c r="J676" s="21"/>
      <c r="K676" s="21"/>
      <c r="L676"/>
      <c r="M676"/>
    </row>
    <row r="677" spans="10:13" x14ac:dyDescent="0.35">
      <c r="J677" s="21"/>
      <c r="K677" s="21"/>
      <c r="L677"/>
      <c r="M677"/>
    </row>
    <row r="678" spans="10:13" x14ac:dyDescent="0.35">
      <c r="J678" s="21"/>
      <c r="K678" s="21"/>
      <c r="L678"/>
      <c r="M678"/>
    </row>
    <row r="679" spans="10:13" x14ac:dyDescent="0.35">
      <c r="J679" s="21"/>
      <c r="K679" s="21"/>
      <c r="L679"/>
      <c r="M679"/>
    </row>
    <row r="680" spans="10:13" x14ac:dyDescent="0.35">
      <c r="J680" s="21"/>
      <c r="K680" s="21"/>
      <c r="L680"/>
      <c r="M680"/>
    </row>
    <row r="681" spans="10:13" x14ac:dyDescent="0.35">
      <c r="J681" s="21"/>
      <c r="K681" s="21"/>
      <c r="L681"/>
      <c r="M681"/>
    </row>
    <row r="682" spans="10:13" x14ac:dyDescent="0.35">
      <c r="J682" s="21"/>
      <c r="K682" s="21"/>
      <c r="L682"/>
      <c r="M682"/>
    </row>
    <row r="683" spans="10:13" x14ac:dyDescent="0.35">
      <c r="J683" s="21"/>
      <c r="K683" s="21"/>
      <c r="L683"/>
      <c r="M683"/>
    </row>
    <row r="684" spans="10:13" x14ac:dyDescent="0.35">
      <c r="J684" s="21"/>
      <c r="K684" s="21"/>
      <c r="L684"/>
      <c r="M684"/>
    </row>
    <row r="685" spans="10:13" x14ac:dyDescent="0.35">
      <c r="J685" s="21"/>
      <c r="K685" s="21"/>
      <c r="L685"/>
      <c r="M685"/>
    </row>
    <row r="686" spans="10:13" x14ac:dyDescent="0.35">
      <c r="J686" s="21"/>
      <c r="K686" s="21"/>
      <c r="L686"/>
      <c r="M686"/>
    </row>
    <row r="687" spans="10:13" x14ac:dyDescent="0.35">
      <c r="J687" s="21"/>
      <c r="K687" s="21"/>
      <c r="L687"/>
      <c r="M687"/>
    </row>
    <row r="688" spans="10:13" x14ac:dyDescent="0.35">
      <c r="J688" s="21"/>
      <c r="K688" s="21"/>
      <c r="L688"/>
      <c r="M688"/>
    </row>
    <row r="689" spans="10:13" x14ac:dyDescent="0.35">
      <c r="J689" s="21"/>
      <c r="K689" s="21"/>
      <c r="L689"/>
      <c r="M689"/>
    </row>
    <row r="690" spans="10:13" x14ac:dyDescent="0.35">
      <c r="J690" s="21"/>
      <c r="K690" s="21"/>
      <c r="L690"/>
      <c r="M690"/>
    </row>
    <row r="691" spans="10:13" x14ac:dyDescent="0.35">
      <c r="J691" s="21"/>
      <c r="K691" s="21"/>
      <c r="L691"/>
      <c r="M691"/>
    </row>
    <row r="692" spans="10:13" x14ac:dyDescent="0.35">
      <c r="J692" s="21"/>
      <c r="K692" s="21"/>
      <c r="L692"/>
      <c r="M692"/>
    </row>
    <row r="693" spans="10:13" x14ac:dyDescent="0.35">
      <c r="J693" s="21"/>
      <c r="K693" s="21"/>
      <c r="L693"/>
      <c r="M693"/>
    </row>
    <row r="694" spans="10:13" x14ac:dyDescent="0.35">
      <c r="J694" s="21"/>
      <c r="K694" s="21"/>
      <c r="L694"/>
      <c r="M694"/>
    </row>
    <row r="695" spans="10:13" x14ac:dyDescent="0.35">
      <c r="J695" s="21"/>
      <c r="K695" s="21"/>
      <c r="L695"/>
      <c r="M695"/>
    </row>
    <row r="696" spans="10:13" x14ac:dyDescent="0.35">
      <c r="J696" s="21"/>
      <c r="K696" s="21"/>
      <c r="L696"/>
      <c r="M696"/>
    </row>
    <row r="697" spans="10:13" x14ac:dyDescent="0.35">
      <c r="J697" s="21"/>
      <c r="K697" s="21"/>
      <c r="L697"/>
      <c r="M697"/>
    </row>
    <row r="698" spans="10:13" x14ac:dyDescent="0.35">
      <c r="J698" s="21"/>
      <c r="K698" s="21"/>
      <c r="L698"/>
      <c r="M698"/>
    </row>
    <row r="699" spans="10:13" x14ac:dyDescent="0.35">
      <c r="J699" s="21"/>
      <c r="K699" s="21"/>
      <c r="L699"/>
      <c r="M699"/>
    </row>
    <row r="700" spans="10:13" x14ac:dyDescent="0.35">
      <c r="J700" s="21"/>
      <c r="K700" s="21"/>
      <c r="L700"/>
      <c r="M700"/>
    </row>
    <row r="701" spans="10:13" x14ac:dyDescent="0.35">
      <c r="J701" s="21"/>
      <c r="K701" s="21"/>
      <c r="L701"/>
      <c r="M701"/>
    </row>
    <row r="702" spans="10:13" x14ac:dyDescent="0.35">
      <c r="J702" s="21"/>
      <c r="K702" s="21"/>
      <c r="L702"/>
      <c r="M702"/>
    </row>
    <row r="703" spans="10:13" x14ac:dyDescent="0.35">
      <c r="J703" s="21"/>
      <c r="K703" s="21"/>
      <c r="L703"/>
      <c r="M703"/>
    </row>
    <row r="704" spans="10:13" x14ac:dyDescent="0.35">
      <c r="J704" s="21"/>
      <c r="K704" s="21"/>
      <c r="L704"/>
      <c r="M704"/>
    </row>
    <row r="705" spans="10:13" x14ac:dyDescent="0.35">
      <c r="J705" s="21"/>
      <c r="K705" s="21"/>
      <c r="L705"/>
      <c r="M705"/>
    </row>
    <row r="706" spans="10:13" x14ac:dyDescent="0.35">
      <c r="J706" s="21"/>
      <c r="K706" s="21"/>
      <c r="L706"/>
      <c r="M706"/>
    </row>
    <row r="707" spans="10:13" x14ac:dyDescent="0.35">
      <c r="J707" s="21"/>
      <c r="K707" s="21"/>
      <c r="L707"/>
      <c r="M707"/>
    </row>
    <row r="708" spans="10:13" x14ac:dyDescent="0.35">
      <c r="J708" s="21"/>
      <c r="K708" s="21"/>
      <c r="L708"/>
      <c r="M708"/>
    </row>
    <row r="709" spans="10:13" x14ac:dyDescent="0.35">
      <c r="J709" s="21"/>
      <c r="K709" s="21"/>
      <c r="L709"/>
      <c r="M709"/>
    </row>
    <row r="710" spans="10:13" x14ac:dyDescent="0.35">
      <c r="J710" s="21"/>
      <c r="K710" s="21"/>
      <c r="L710"/>
      <c r="M710"/>
    </row>
    <row r="711" spans="10:13" x14ac:dyDescent="0.35">
      <c r="J711" s="21"/>
      <c r="K711" s="21"/>
      <c r="L711"/>
      <c r="M711"/>
    </row>
    <row r="712" spans="10:13" x14ac:dyDescent="0.35">
      <c r="J712" s="21"/>
      <c r="K712" s="21"/>
      <c r="L712"/>
      <c r="M712"/>
    </row>
    <row r="713" spans="10:13" x14ac:dyDescent="0.35">
      <c r="J713" s="21"/>
      <c r="K713" s="21"/>
      <c r="L713"/>
      <c r="M713"/>
    </row>
    <row r="714" spans="10:13" x14ac:dyDescent="0.35">
      <c r="J714" s="21"/>
      <c r="K714" s="21"/>
      <c r="L714"/>
      <c r="M714"/>
    </row>
    <row r="715" spans="10:13" x14ac:dyDescent="0.35">
      <c r="J715" s="21"/>
      <c r="K715" s="21"/>
      <c r="L715"/>
      <c r="M715"/>
    </row>
    <row r="716" spans="10:13" x14ac:dyDescent="0.35">
      <c r="J716" s="21"/>
      <c r="K716" s="21"/>
      <c r="L716"/>
      <c r="M716"/>
    </row>
    <row r="717" spans="10:13" x14ac:dyDescent="0.35">
      <c r="J717" s="21"/>
      <c r="K717" s="21"/>
      <c r="L717"/>
      <c r="M717"/>
    </row>
    <row r="718" spans="10:13" x14ac:dyDescent="0.35">
      <c r="J718" s="21"/>
      <c r="K718" s="21"/>
      <c r="L718"/>
      <c r="M718"/>
    </row>
    <row r="719" spans="10:13" x14ac:dyDescent="0.35">
      <c r="J719" s="21"/>
      <c r="K719" s="21"/>
      <c r="L719"/>
      <c r="M719"/>
    </row>
    <row r="720" spans="10:13" x14ac:dyDescent="0.35">
      <c r="J720" s="21"/>
      <c r="K720" s="21"/>
      <c r="L720"/>
      <c r="M720"/>
    </row>
    <row r="721" spans="10:13" x14ac:dyDescent="0.35">
      <c r="J721" s="21"/>
      <c r="K721" s="21"/>
      <c r="L721"/>
      <c r="M721"/>
    </row>
    <row r="722" spans="10:13" x14ac:dyDescent="0.35">
      <c r="J722" s="21"/>
      <c r="K722" s="21"/>
      <c r="L722"/>
      <c r="M722"/>
    </row>
    <row r="723" spans="10:13" x14ac:dyDescent="0.35">
      <c r="J723" s="21"/>
      <c r="K723" s="21"/>
      <c r="L723"/>
      <c r="M723"/>
    </row>
    <row r="724" spans="10:13" x14ac:dyDescent="0.35">
      <c r="J724" s="21"/>
      <c r="K724" s="21"/>
      <c r="L724"/>
      <c r="M724"/>
    </row>
    <row r="725" spans="10:13" x14ac:dyDescent="0.35">
      <c r="J725" s="21"/>
      <c r="K725" s="21"/>
      <c r="L725"/>
      <c r="M725"/>
    </row>
    <row r="726" spans="10:13" x14ac:dyDescent="0.35">
      <c r="J726" s="21"/>
      <c r="K726" s="21"/>
      <c r="L726"/>
      <c r="M726"/>
    </row>
    <row r="727" spans="10:13" x14ac:dyDescent="0.35">
      <c r="J727" s="21"/>
      <c r="K727" s="21"/>
      <c r="L727"/>
      <c r="M727"/>
    </row>
    <row r="728" spans="10:13" x14ac:dyDescent="0.35">
      <c r="J728" s="21"/>
      <c r="K728" s="21"/>
      <c r="L728"/>
      <c r="M728"/>
    </row>
    <row r="729" spans="10:13" x14ac:dyDescent="0.35">
      <c r="J729" s="21"/>
      <c r="K729" s="21"/>
      <c r="L729"/>
      <c r="M729"/>
    </row>
    <row r="730" spans="10:13" x14ac:dyDescent="0.35">
      <c r="J730" s="21"/>
      <c r="K730" s="21"/>
      <c r="L730"/>
      <c r="M730"/>
    </row>
    <row r="731" spans="10:13" x14ac:dyDescent="0.35">
      <c r="J731" s="21"/>
      <c r="K731" s="21"/>
      <c r="L731"/>
      <c r="M731"/>
    </row>
    <row r="732" spans="10:13" x14ac:dyDescent="0.35">
      <c r="J732" s="21"/>
      <c r="K732" s="21"/>
      <c r="L732"/>
      <c r="M732"/>
    </row>
    <row r="733" spans="10:13" x14ac:dyDescent="0.35">
      <c r="J733" s="21"/>
      <c r="K733" s="21"/>
      <c r="L733"/>
      <c r="M733"/>
    </row>
    <row r="734" spans="10:13" x14ac:dyDescent="0.35">
      <c r="J734" s="21"/>
      <c r="K734" s="21"/>
      <c r="L734"/>
      <c r="M734"/>
    </row>
    <row r="735" spans="10:13" x14ac:dyDescent="0.35">
      <c r="J735" s="21"/>
      <c r="K735" s="21"/>
      <c r="L735"/>
      <c r="M735"/>
    </row>
    <row r="736" spans="10:13" x14ac:dyDescent="0.35">
      <c r="J736" s="21"/>
      <c r="K736" s="21"/>
      <c r="L736"/>
      <c r="M736"/>
    </row>
    <row r="737" spans="10:13" x14ac:dyDescent="0.35">
      <c r="J737" s="21"/>
      <c r="K737" s="21"/>
      <c r="L737"/>
      <c r="M737"/>
    </row>
    <row r="738" spans="10:13" x14ac:dyDescent="0.35">
      <c r="J738" s="21"/>
      <c r="K738" s="21"/>
      <c r="L738"/>
      <c r="M738"/>
    </row>
    <row r="739" spans="10:13" x14ac:dyDescent="0.35">
      <c r="J739" s="21"/>
      <c r="K739" s="21"/>
      <c r="L739"/>
      <c r="M739"/>
    </row>
    <row r="740" spans="10:13" x14ac:dyDescent="0.35">
      <c r="J740" s="21"/>
      <c r="K740" s="21"/>
      <c r="L740"/>
      <c r="M740"/>
    </row>
    <row r="741" spans="10:13" x14ac:dyDescent="0.35">
      <c r="J741" s="21"/>
      <c r="K741" s="21"/>
      <c r="L741"/>
      <c r="M741"/>
    </row>
    <row r="742" spans="10:13" x14ac:dyDescent="0.35">
      <c r="J742" s="21"/>
      <c r="K742" s="21"/>
      <c r="L742"/>
      <c r="M742"/>
    </row>
    <row r="743" spans="10:13" x14ac:dyDescent="0.35">
      <c r="J743" s="21"/>
      <c r="K743" s="21"/>
      <c r="L743"/>
      <c r="M743"/>
    </row>
    <row r="744" spans="10:13" x14ac:dyDescent="0.35">
      <c r="J744" s="21"/>
      <c r="K744" s="21"/>
      <c r="L744"/>
      <c r="M744"/>
    </row>
    <row r="745" spans="10:13" x14ac:dyDescent="0.35">
      <c r="J745" s="21"/>
      <c r="K745" s="21"/>
      <c r="L745"/>
      <c r="M745"/>
    </row>
    <row r="746" spans="10:13" x14ac:dyDescent="0.35">
      <c r="J746" s="21"/>
      <c r="K746" s="21"/>
      <c r="L746"/>
      <c r="M746"/>
    </row>
    <row r="747" spans="10:13" x14ac:dyDescent="0.35">
      <c r="J747" s="21"/>
      <c r="K747" s="21"/>
      <c r="L747"/>
      <c r="M747"/>
    </row>
    <row r="748" spans="10:13" x14ac:dyDescent="0.35">
      <c r="J748" s="21"/>
      <c r="K748" s="21"/>
      <c r="L748"/>
      <c r="M748"/>
    </row>
    <row r="749" spans="10:13" x14ac:dyDescent="0.35">
      <c r="J749" s="21"/>
      <c r="K749" s="21"/>
      <c r="L749"/>
      <c r="M749"/>
    </row>
    <row r="750" spans="10:13" x14ac:dyDescent="0.35">
      <c r="J750" s="21"/>
      <c r="K750" s="21"/>
      <c r="L750"/>
      <c r="M750"/>
    </row>
    <row r="751" spans="10:13" x14ac:dyDescent="0.35">
      <c r="J751" s="21"/>
      <c r="K751" s="21"/>
      <c r="L751"/>
      <c r="M751"/>
    </row>
    <row r="752" spans="10:13" x14ac:dyDescent="0.35">
      <c r="J752" s="21"/>
      <c r="K752" s="21"/>
      <c r="L752"/>
      <c r="M752"/>
    </row>
    <row r="753" spans="10:13" x14ac:dyDescent="0.35">
      <c r="J753" s="21"/>
      <c r="K753" s="21"/>
      <c r="L753"/>
      <c r="M753"/>
    </row>
    <row r="754" spans="10:13" x14ac:dyDescent="0.35">
      <c r="J754" s="21"/>
      <c r="K754" s="21"/>
      <c r="L754"/>
      <c r="M754"/>
    </row>
    <row r="755" spans="10:13" x14ac:dyDescent="0.35">
      <c r="J755" s="21"/>
      <c r="K755" s="21"/>
      <c r="L755"/>
      <c r="M755"/>
    </row>
    <row r="756" spans="10:13" x14ac:dyDescent="0.35">
      <c r="J756" s="21"/>
      <c r="K756" s="21"/>
      <c r="L756"/>
      <c r="M756"/>
    </row>
    <row r="757" spans="10:13" x14ac:dyDescent="0.35">
      <c r="J757" s="21"/>
      <c r="K757" s="21"/>
      <c r="L757"/>
      <c r="M757"/>
    </row>
    <row r="758" spans="10:13" x14ac:dyDescent="0.35">
      <c r="J758" s="21"/>
      <c r="K758" s="21"/>
      <c r="L758"/>
      <c r="M758"/>
    </row>
    <row r="759" spans="10:13" x14ac:dyDescent="0.35">
      <c r="J759" s="21"/>
      <c r="K759" s="21"/>
      <c r="L759"/>
      <c r="M759"/>
    </row>
    <row r="760" spans="10:13" x14ac:dyDescent="0.35">
      <c r="J760" s="21"/>
      <c r="K760" s="21"/>
      <c r="L760"/>
      <c r="M760"/>
    </row>
    <row r="761" spans="10:13" x14ac:dyDescent="0.35">
      <c r="J761" s="21"/>
      <c r="K761" s="21"/>
      <c r="L761"/>
      <c r="M761"/>
    </row>
    <row r="762" spans="10:13" x14ac:dyDescent="0.35">
      <c r="J762" s="21"/>
      <c r="K762" s="21"/>
      <c r="L762"/>
      <c r="M762"/>
    </row>
    <row r="763" spans="10:13" x14ac:dyDescent="0.35">
      <c r="J763" s="21"/>
      <c r="K763" s="21"/>
      <c r="L763"/>
      <c r="M763"/>
    </row>
    <row r="764" spans="10:13" x14ac:dyDescent="0.35">
      <c r="J764" s="21"/>
      <c r="K764" s="21"/>
      <c r="L764"/>
      <c r="M764"/>
    </row>
    <row r="765" spans="10:13" x14ac:dyDescent="0.35">
      <c r="J765" s="21"/>
      <c r="K765" s="21"/>
      <c r="L765"/>
      <c r="M765"/>
    </row>
    <row r="766" spans="10:13" x14ac:dyDescent="0.35">
      <c r="J766" s="21"/>
      <c r="K766" s="21"/>
      <c r="L766"/>
      <c r="M766"/>
    </row>
    <row r="767" spans="10:13" x14ac:dyDescent="0.35">
      <c r="J767" s="21"/>
      <c r="K767" s="21"/>
      <c r="L767"/>
      <c r="M767"/>
    </row>
    <row r="768" spans="10:13" x14ac:dyDescent="0.35">
      <c r="J768" s="21"/>
      <c r="K768" s="21"/>
      <c r="L768"/>
      <c r="M768"/>
    </row>
    <row r="769" spans="10:13" x14ac:dyDescent="0.35">
      <c r="J769" s="21"/>
      <c r="K769" s="21"/>
      <c r="L769"/>
      <c r="M769"/>
    </row>
    <row r="770" spans="10:13" x14ac:dyDescent="0.35">
      <c r="J770" s="21"/>
      <c r="K770" s="21"/>
      <c r="L770"/>
      <c r="M770"/>
    </row>
    <row r="771" spans="10:13" x14ac:dyDescent="0.35">
      <c r="J771" s="21"/>
      <c r="K771" s="21"/>
      <c r="L771"/>
      <c r="M771"/>
    </row>
    <row r="772" spans="10:13" x14ac:dyDescent="0.35">
      <c r="J772" s="21"/>
      <c r="K772" s="21"/>
      <c r="L772"/>
      <c r="M772"/>
    </row>
    <row r="773" spans="10:13" x14ac:dyDescent="0.35">
      <c r="J773" s="21"/>
      <c r="K773" s="21"/>
      <c r="L773"/>
      <c r="M773"/>
    </row>
    <row r="774" spans="10:13" x14ac:dyDescent="0.35">
      <c r="J774" s="21"/>
      <c r="K774" s="21"/>
      <c r="L774"/>
      <c r="M774"/>
    </row>
    <row r="775" spans="10:13" x14ac:dyDescent="0.35">
      <c r="J775" s="21"/>
      <c r="K775" s="21"/>
      <c r="L775"/>
      <c r="M775"/>
    </row>
    <row r="776" spans="10:13" x14ac:dyDescent="0.35">
      <c r="J776" s="21"/>
      <c r="K776" s="21"/>
      <c r="L776"/>
      <c r="M776"/>
    </row>
    <row r="777" spans="10:13" x14ac:dyDescent="0.35">
      <c r="J777" s="21"/>
      <c r="K777" s="21"/>
      <c r="L777"/>
      <c r="M777"/>
    </row>
    <row r="778" spans="10:13" x14ac:dyDescent="0.35">
      <c r="J778" s="21"/>
      <c r="K778" s="21"/>
      <c r="L778"/>
      <c r="M778"/>
    </row>
    <row r="779" spans="10:13" x14ac:dyDescent="0.35">
      <c r="J779" s="21"/>
      <c r="K779" s="21"/>
      <c r="L779"/>
      <c r="M779"/>
    </row>
    <row r="780" spans="10:13" x14ac:dyDescent="0.35">
      <c r="J780" s="21"/>
      <c r="K780" s="21"/>
      <c r="L780"/>
      <c r="M780"/>
    </row>
    <row r="781" spans="10:13" x14ac:dyDescent="0.35">
      <c r="J781" s="21"/>
      <c r="K781" s="21"/>
      <c r="L781"/>
      <c r="M781"/>
    </row>
    <row r="782" spans="10:13" x14ac:dyDescent="0.35">
      <c r="J782" s="21"/>
      <c r="K782" s="21"/>
      <c r="L782"/>
      <c r="M782"/>
    </row>
    <row r="783" spans="10:13" x14ac:dyDescent="0.35">
      <c r="J783" s="21"/>
      <c r="K783" s="21"/>
      <c r="L783"/>
      <c r="M783"/>
    </row>
    <row r="784" spans="10:13" x14ac:dyDescent="0.35">
      <c r="J784" s="21"/>
      <c r="K784" s="21"/>
      <c r="L784"/>
      <c r="M784"/>
    </row>
    <row r="785" spans="10:13" x14ac:dyDescent="0.35">
      <c r="J785" s="21"/>
      <c r="K785" s="21"/>
      <c r="L785"/>
      <c r="M785"/>
    </row>
    <row r="786" spans="10:13" x14ac:dyDescent="0.35">
      <c r="J786" s="21"/>
      <c r="K786" s="21"/>
      <c r="L786"/>
      <c r="M786"/>
    </row>
    <row r="787" spans="10:13" x14ac:dyDescent="0.35">
      <c r="J787" s="21"/>
      <c r="K787" s="21"/>
      <c r="L787"/>
      <c r="M787"/>
    </row>
    <row r="788" spans="10:13" x14ac:dyDescent="0.35">
      <c r="J788" s="21"/>
      <c r="K788" s="21"/>
      <c r="L788"/>
      <c r="M788"/>
    </row>
    <row r="789" spans="10:13" x14ac:dyDescent="0.35">
      <c r="J789" s="21"/>
      <c r="K789" s="21"/>
      <c r="L789"/>
      <c r="M789"/>
    </row>
    <row r="790" spans="10:13" x14ac:dyDescent="0.35">
      <c r="J790" s="21"/>
      <c r="K790" s="21"/>
      <c r="L790"/>
      <c r="M790"/>
    </row>
    <row r="791" spans="10:13" x14ac:dyDescent="0.35">
      <c r="J791" s="21"/>
      <c r="K791" s="21"/>
      <c r="L791"/>
      <c r="M791"/>
    </row>
    <row r="792" spans="10:13" x14ac:dyDescent="0.35">
      <c r="J792" s="21"/>
      <c r="K792" s="21"/>
      <c r="L792"/>
      <c r="M792"/>
    </row>
    <row r="793" spans="10:13" x14ac:dyDescent="0.35">
      <c r="J793" s="21"/>
      <c r="K793" s="21"/>
      <c r="L793"/>
      <c r="M793"/>
    </row>
    <row r="794" spans="10:13" x14ac:dyDescent="0.35">
      <c r="J794" s="21"/>
      <c r="K794" s="21"/>
      <c r="L794"/>
      <c r="M794"/>
    </row>
    <row r="795" spans="10:13" x14ac:dyDescent="0.35">
      <c r="J795" s="21"/>
      <c r="K795" s="21"/>
      <c r="L795"/>
      <c r="M795"/>
    </row>
    <row r="796" spans="10:13" x14ac:dyDescent="0.35">
      <c r="J796" s="21"/>
      <c r="K796" s="21"/>
      <c r="L796"/>
      <c r="M796"/>
    </row>
    <row r="797" spans="10:13" x14ac:dyDescent="0.35">
      <c r="J797" s="21"/>
      <c r="K797" s="21"/>
      <c r="L797"/>
      <c r="M797"/>
    </row>
    <row r="798" spans="10:13" x14ac:dyDescent="0.35">
      <c r="J798" s="21"/>
      <c r="K798" s="21"/>
      <c r="L798"/>
      <c r="M798"/>
    </row>
    <row r="799" spans="10:13" x14ac:dyDescent="0.35">
      <c r="J799" s="21"/>
      <c r="K799" s="21"/>
      <c r="L799"/>
      <c r="M799"/>
    </row>
    <row r="800" spans="10:13" x14ac:dyDescent="0.35">
      <c r="J800" s="21"/>
      <c r="K800" s="21"/>
      <c r="L800"/>
      <c r="M800"/>
    </row>
    <row r="801" spans="10:13" x14ac:dyDescent="0.35">
      <c r="J801" s="21"/>
      <c r="K801" s="21"/>
      <c r="L801"/>
      <c r="M801"/>
    </row>
    <row r="802" spans="10:13" x14ac:dyDescent="0.35">
      <c r="J802" s="21"/>
      <c r="K802" s="21"/>
      <c r="L802"/>
      <c r="M802"/>
    </row>
    <row r="803" spans="10:13" x14ac:dyDescent="0.35">
      <c r="J803" s="21"/>
      <c r="K803" s="21"/>
      <c r="L803"/>
      <c r="M803"/>
    </row>
    <row r="804" spans="10:13" x14ac:dyDescent="0.35">
      <c r="J804" s="21"/>
      <c r="K804" s="21"/>
      <c r="L804"/>
      <c r="M804"/>
    </row>
    <row r="805" spans="10:13" x14ac:dyDescent="0.35">
      <c r="J805" s="21"/>
      <c r="K805" s="21"/>
      <c r="L805"/>
      <c r="M805"/>
    </row>
    <row r="806" spans="10:13" x14ac:dyDescent="0.35">
      <c r="J806" s="21"/>
      <c r="K806" s="21"/>
      <c r="L806"/>
      <c r="M806"/>
    </row>
    <row r="807" spans="10:13" x14ac:dyDescent="0.35">
      <c r="J807" s="21"/>
      <c r="K807" s="21"/>
      <c r="L807"/>
      <c r="M807"/>
    </row>
    <row r="808" spans="10:13" x14ac:dyDescent="0.35">
      <c r="J808" s="21"/>
      <c r="K808" s="21"/>
      <c r="L808"/>
      <c r="M808"/>
    </row>
    <row r="809" spans="10:13" x14ac:dyDescent="0.35">
      <c r="J809" s="21"/>
      <c r="K809" s="21"/>
      <c r="L809"/>
      <c r="M809"/>
    </row>
    <row r="810" spans="10:13" x14ac:dyDescent="0.35">
      <c r="J810" s="21"/>
      <c r="K810" s="21"/>
      <c r="L810"/>
      <c r="M810"/>
    </row>
    <row r="811" spans="10:13" x14ac:dyDescent="0.35">
      <c r="J811" s="21"/>
      <c r="K811" s="21"/>
      <c r="L811"/>
      <c r="M811"/>
    </row>
    <row r="812" spans="10:13" x14ac:dyDescent="0.35">
      <c r="J812" s="21"/>
      <c r="K812" s="21"/>
      <c r="L812"/>
      <c r="M812"/>
    </row>
    <row r="813" spans="10:13" x14ac:dyDescent="0.35">
      <c r="J813" s="21"/>
      <c r="K813" s="21"/>
      <c r="L813"/>
      <c r="M813"/>
    </row>
    <row r="814" spans="10:13" x14ac:dyDescent="0.35">
      <c r="J814" s="21"/>
      <c r="K814" s="21"/>
      <c r="L814"/>
      <c r="M814"/>
    </row>
    <row r="815" spans="10:13" x14ac:dyDescent="0.35">
      <c r="J815" s="21"/>
      <c r="K815" s="21"/>
      <c r="L815"/>
      <c r="M815"/>
    </row>
    <row r="816" spans="10:13" x14ac:dyDescent="0.35">
      <c r="J816" s="21"/>
      <c r="K816" s="21"/>
      <c r="L816"/>
      <c r="M816"/>
    </row>
    <row r="817" spans="10:13" x14ac:dyDescent="0.35">
      <c r="J817" s="21"/>
      <c r="K817" s="21"/>
      <c r="L817"/>
      <c r="M817"/>
    </row>
    <row r="818" spans="10:13" x14ac:dyDescent="0.35">
      <c r="J818" s="21"/>
      <c r="K818" s="21"/>
      <c r="L818"/>
      <c r="M818"/>
    </row>
    <row r="819" spans="10:13" x14ac:dyDescent="0.35">
      <c r="J819" s="21"/>
      <c r="K819" s="21"/>
      <c r="L819"/>
      <c r="M819"/>
    </row>
    <row r="820" spans="10:13" x14ac:dyDescent="0.35">
      <c r="J820" s="21"/>
      <c r="K820" s="21"/>
      <c r="L820"/>
      <c r="M820"/>
    </row>
    <row r="821" spans="10:13" x14ac:dyDescent="0.35">
      <c r="J821" s="21"/>
      <c r="K821" s="21"/>
      <c r="L821"/>
      <c r="M821"/>
    </row>
    <row r="822" spans="10:13" x14ac:dyDescent="0.35">
      <c r="J822" s="21"/>
      <c r="K822" s="21"/>
      <c r="L822"/>
      <c r="M822"/>
    </row>
    <row r="823" spans="10:13" x14ac:dyDescent="0.35">
      <c r="J823" s="21"/>
      <c r="K823" s="21"/>
      <c r="L823"/>
      <c r="M823"/>
    </row>
    <row r="824" spans="10:13" x14ac:dyDescent="0.35">
      <c r="J824" s="21"/>
      <c r="K824" s="21"/>
      <c r="L824"/>
      <c r="M824"/>
    </row>
    <row r="825" spans="10:13" x14ac:dyDescent="0.35">
      <c r="J825" s="21"/>
      <c r="K825" s="21"/>
      <c r="L825"/>
      <c r="M825"/>
    </row>
    <row r="826" spans="10:13" x14ac:dyDescent="0.35">
      <c r="J826" s="21"/>
      <c r="K826" s="21"/>
      <c r="L826"/>
      <c r="M826"/>
    </row>
    <row r="827" spans="10:13" x14ac:dyDescent="0.35">
      <c r="J827" s="21"/>
      <c r="K827" s="21"/>
      <c r="L827"/>
      <c r="M827"/>
    </row>
    <row r="828" spans="10:13" x14ac:dyDescent="0.35">
      <c r="J828" s="21"/>
      <c r="K828" s="21"/>
      <c r="L828"/>
      <c r="M828"/>
    </row>
    <row r="829" spans="10:13" x14ac:dyDescent="0.35">
      <c r="J829" s="21"/>
      <c r="K829" s="21"/>
      <c r="L829"/>
      <c r="M829"/>
    </row>
    <row r="830" spans="10:13" x14ac:dyDescent="0.35">
      <c r="J830" s="21"/>
      <c r="K830" s="21"/>
      <c r="L830"/>
      <c r="M830"/>
    </row>
    <row r="831" spans="10:13" x14ac:dyDescent="0.35">
      <c r="J831" s="21"/>
      <c r="K831" s="21"/>
      <c r="L831"/>
      <c r="M831"/>
    </row>
    <row r="832" spans="10:13" x14ac:dyDescent="0.35">
      <c r="J832" s="21"/>
      <c r="K832" s="21"/>
      <c r="L832"/>
      <c r="M832"/>
    </row>
    <row r="833" spans="10:13" x14ac:dyDescent="0.35">
      <c r="J833" s="21"/>
      <c r="K833" s="21"/>
      <c r="L833"/>
      <c r="M833"/>
    </row>
    <row r="834" spans="10:13" x14ac:dyDescent="0.35">
      <c r="J834" s="21"/>
      <c r="K834" s="21"/>
      <c r="L834"/>
      <c r="M834"/>
    </row>
    <row r="835" spans="10:13" x14ac:dyDescent="0.35">
      <c r="J835" s="21"/>
      <c r="K835" s="21"/>
      <c r="L835"/>
      <c r="M835"/>
    </row>
    <row r="836" spans="10:13" x14ac:dyDescent="0.35">
      <c r="J836" s="21"/>
      <c r="K836" s="21"/>
      <c r="L836"/>
      <c r="M836"/>
    </row>
    <row r="837" spans="10:13" x14ac:dyDescent="0.35">
      <c r="J837" s="21"/>
      <c r="K837" s="21"/>
      <c r="L837"/>
      <c r="M837"/>
    </row>
    <row r="838" spans="10:13" x14ac:dyDescent="0.35">
      <c r="J838" s="21"/>
      <c r="K838" s="21"/>
      <c r="L838"/>
      <c r="M838"/>
    </row>
    <row r="839" spans="10:13" x14ac:dyDescent="0.35">
      <c r="J839" s="21"/>
      <c r="K839" s="21"/>
      <c r="L839"/>
      <c r="M839"/>
    </row>
    <row r="840" spans="10:13" x14ac:dyDescent="0.35">
      <c r="J840" s="21"/>
      <c r="K840" s="21"/>
      <c r="L840"/>
      <c r="M840"/>
    </row>
    <row r="841" spans="10:13" x14ac:dyDescent="0.35">
      <c r="J841" s="21"/>
      <c r="K841" s="21"/>
      <c r="L841"/>
      <c r="M841"/>
    </row>
    <row r="842" spans="10:13" x14ac:dyDescent="0.35">
      <c r="J842" s="21"/>
      <c r="K842" s="21"/>
      <c r="L842"/>
      <c r="M842"/>
    </row>
    <row r="843" spans="10:13" x14ac:dyDescent="0.35">
      <c r="J843" s="21"/>
      <c r="K843" s="21"/>
      <c r="L843"/>
      <c r="M843"/>
    </row>
    <row r="844" spans="10:13" x14ac:dyDescent="0.35">
      <c r="J844" s="21"/>
      <c r="K844" s="21"/>
      <c r="L844"/>
      <c r="M844"/>
    </row>
    <row r="845" spans="10:13" x14ac:dyDescent="0.35">
      <c r="J845" s="21"/>
      <c r="K845" s="21"/>
      <c r="L845"/>
      <c r="M845"/>
    </row>
    <row r="846" spans="10:13" x14ac:dyDescent="0.35">
      <c r="J846" s="21"/>
      <c r="K846" s="21"/>
      <c r="L846"/>
      <c r="M846"/>
    </row>
    <row r="847" spans="10:13" x14ac:dyDescent="0.35">
      <c r="J847" s="21"/>
      <c r="K847" s="21"/>
      <c r="L847"/>
      <c r="M847"/>
    </row>
    <row r="848" spans="10:13" x14ac:dyDescent="0.35">
      <c r="J848" s="21"/>
      <c r="K848" s="21"/>
      <c r="L848"/>
      <c r="M848"/>
    </row>
    <row r="849" spans="10:13" x14ac:dyDescent="0.35">
      <c r="J849" s="21"/>
      <c r="K849" s="21"/>
      <c r="L849"/>
      <c r="M849"/>
    </row>
    <row r="850" spans="10:13" x14ac:dyDescent="0.35">
      <c r="J850" s="21"/>
      <c r="K850" s="21"/>
      <c r="L850"/>
      <c r="M850"/>
    </row>
    <row r="851" spans="10:13" x14ac:dyDescent="0.35">
      <c r="J851" s="21"/>
      <c r="K851" s="21"/>
      <c r="L851"/>
      <c r="M851"/>
    </row>
    <row r="852" spans="10:13" x14ac:dyDescent="0.35">
      <c r="J852" s="21"/>
      <c r="K852" s="21"/>
      <c r="L852"/>
      <c r="M852"/>
    </row>
    <row r="853" spans="10:13" x14ac:dyDescent="0.35">
      <c r="J853" s="21"/>
      <c r="K853" s="21"/>
      <c r="L853"/>
      <c r="M853"/>
    </row>
    <row r="854" spans="10:13" x14ac:dyDescent="0.35">
      <c r="J854" s="21"/>
      <c r="K854" s="21"/>
      <c r="L854"/>
      <c r="M854"/>
    </row>
    <row r="855" spans="10:13" x14ac:dyDescent="0.35">
      <c r="J855" s="21"/>
      <c r="K855" s="21"/>
      <c r="L855"/>
      <c r="M855"/>
    </row>
    <row r="856" spans="10:13" x14ac:dyDescent="0.35">
      <c r="J856" s="21"/>
      <c r="K856" s="21"/>
      <c r="L856"/>
      <c r="M856"/>
    </row>
    <row r="857" spans="10:13" x14ac:dyDescent="0.35">
      <c r="J857" s="21"/>
      <c r="K857" s="21"/>
      <c r="L857"/>
      <c r="M857"/>
    </row>
    <row r="858" spans="10:13" x14ac:dyDescent="0.35">
      <c r="J858" s="21"/>
      <c r="K858" s="21"/>
      <c r="L858"/>
      <c r="M858"/>
    </row>
    <row r="859" spans="10:13" x14ac:dyDescent="0.35">
      <c r="J859" s="21"/>
      <c r="K859" s="21"/>
      <c r="L859"/>
      <c r="M859"/>
    </row>
    <row r="860" spans="10:13" x14ac:dyDescent="0.35">
      <c r="J860" s="21"/>
      <c r="K860" s="21"/>
      <c r="L860"/>
      <c r="M860"/>
    </row>
    <row r="861" spans="10:13" x14ac:dyDescent="0.35">
      <c r="J861" s="21"/>
      <c r="K861" s="21"/>
      <c r="L861"/>
      <c r="M861"/>
    </row>
    <row r="862" spans="10:13" x14ac:dyDescent="0.35">
      <c r="J862" s="21"/>
      <c r="K862" s="21"/>
      <c r="L862"/>
      <c r="M862"/>
    </row>
    <row r="863" spans="10:13" x14ac:dyDescent="0.35">
      <c r="J863" s="21"/>
      <c r="K863" s="21"/>
      <c r="L863"/>
      <c r="M863"/>
    </row>
    <row r="864" spans="10:13" x14ac:dyDescent="0.35">
      <c r="J864" s="21"/>
      <c r="K864" s="21"/>
      <c r="L864"/>
      <c r="M864"/>
    </row>
    <row r="865" spans="10:13" x14ac:dyDescent="0.35">
      <c r="J865" s="21"/>
      <c r="K865" s="21"/>
      <c r="L865"/>
      <c r="M865"/>
    </row>
    <row r="866" spans="10:13" x14ac:dyDescent="0.35">
      <c r="J866" s="21"/>
      <c r="K866" s="21"/>
      <c r="L866"/>
      <c r="M866"/>
    </row>
    <row r="867" spans="10:13" x14ac:dyDescent="0.35">
      <c r="J867" s="21"/>
      <c r="K867" s="21"/>
      <c r="L867"/>
      <c r="M867"/>
    </row>
    <row r="868" spans="10:13" x14ac:dyDescent="0.35">
      <c r="J868" s="21"/>
      <c r="K868" s="21"/>
      <c r="L868"/>
      <c r="M868"/>
    </row>
    <row r="869" spans="10:13" x14ac:dyDescent="0.35">
      <c r="J869" s="21"/>
      <c r="K869" s="21"/>
      <c r="L869"/>
      <c r="M869"/>
    </row>
    <row r="870" spans="10:13" x14ac:dyDescent="0.35">
      <c r="J870" s="21"/>
      <c r="K870" s="21"/>
      <c r="L870"/>
      <c r="M870"/>
    </row>
    <row r="871" spans="10:13" x14ac:dyDescent="0.35">
      <c r="J871" s="21"/>
      <c r="K871" s="21"/>
      <c r="L871"/>
      <c r="M871"/>
    </row>
    <row r="872" spans="10:13" x14ac:dyDescent="0.35">
      <c r="J872" s="21"/>
      <c r="K872" s="21"/>
      <c r="L872"/>
      <c r="M872"/>
    </row>
    <row r="873" spans="10:13" x14ac:dyDescent="0.35">
      <c r="J873" s="21"/>
      <c r="K873" s="21"/>
      <c r="L873"/>
      <c r="M873"/>
    </row>
    <row r="874" spans="10:13" x14ac:dyDescent="0.35">
      <c r="J874" s="21"/>
      <c r="K874" s="21"/>
      <c r="L874"/>
      <c r="M874"/>
    </row>
    <row r="875" spans="10:13" x14ac:dyDescent="0.35">
      <c r="J875" s="21"/>
      <c r="K875" s="21"/>
      <c r="L875"/>
      <c r="M875"/>
    </row>
    <row r="876" spans="10:13" x14ac:dyDescent="0.35">
      <c r="J876" s="21"/>
      <c r="K876" s="21"/>
      <c r="L876"/>
      <c r="M876"/>
    </row>
    <row r="877" spans="10:13" x14ac:dyDescent="0.35">
      <c r="J877" s="21"/>
      <c r="K877" s="21"/>
      <c r="L877"/>
      <c r="M877"/>
    </row>
    <row r="878" spans="10:13" x14ac:dyDescent="0.35">
      <c r="J878" s="21"/>
      <c r="K878" s="21"/>
      <c r="L878"/>
      <c r="M878"/>
    </row>
    <row r="879" spans="10:13" x14ac:dyDescent="0.35">
      <c r="J879" s="21"/>
      <c r="K879" s="21"/>
      <c r="L879"/>
      <c r="M879"/>
    </row>
    <row r="880" spans="10:13" x14ac:dyDescent="0.35">
      <c r="J880" s="21"/>
      <c r="K880" s="21"/>
      <c r="L880"/>
      <c r="M880"/>
    </row>
    <row r="881" spans="10:13" x14ac:dyDescent="0.35">
      <c r="J881" s="21"/>
      <c r="K881" s="21"/>
      <c r="L881"/>
      <c r="M881"/>
    </row>
    <row r="882" spans="10:13" x14ac:dyDescent="0.35">
      <c r="J882" s="21"/>
      <c r="K882" s="21"/>
      <c r="L882"/>
      <c r="M882"/>
    </row>
    <row r="883" spans="10:13" x14ac:dyDescent="0.35">
      <c r="J883" s="21"/>
      <c r="K883" s="21"/>
      <c r="L883"/>
      <c r="M883"/>
    </row>
    <row r="884" spans="10:13" x14ac:dyDescent="0.35">
      <c r="J884" s="21"/>
      <c r="K884" s="21"/>
      <c r="L884"/>
      <c r="M884"/>
    </row>
    <row r="885" spans="10:13" x14ac:dyDescent="0.35">
      <c r="J885" s="21"/>
      <c r="K885" s="21"/>
      <c r="L885"/>
      <c r="M885"/>
    </row>
    <row r="886" spans="10:13" x14ac:dyDescent="0.35">
      <c r="J886" s="21"/>
      <c r="K886" s="21"/>
      <c r="L886"/>
      <c r="M886"/>
    </row>
    <row r="887" spans="10:13" x14ac:dyDescent="0.35">
      <c r="J887" s="21"/>
      <c r="K887" s="21"/>
      <c r="L887"/>
      <c r="M887"/>
    </row>
    <row r="888" spans="10:13" x14ac:dyDescent="0.35">
      <c r="J888" s="21"/>
      <c r="K888" s="21"/>
      <c r="L888"/>
      <c r="M888"/>
    </row>
    <row r="889" spans="10:13" x14ac:dyDescent="0.35">
      <c r="J889" s="21"/>
      <c r="K889" s="21"/>
      <c r="L889"/>
      <c r="M889"/>
    </row>
    <row r="890" spans="10:13" x14ac:dyDescent="0.35">
      <c r="J890" s="21"/>
      <c r="K890" s="21"/>
      <c r="L890"/>
      <c r="M890"/>
    </row>
    <row r="891" spans="10:13" x14ac:dyDescent="0.35">
      <c r="J891" s="21"/>
      <c r="K891" s="21"/>
      <c r="L891"/>
      <c r="M891"/>
    </row>
    <row r="892" spans="10:13" x14ac:dyDescent="0.35">
      <c r="J892" s="21"/>
      <c r="K892" s="21"/>
      <c r="L892"/>
      <c r="M892"/>
    </row>
    <row r="893" spans="10:13" x14ac:dyDescent="0.35">
      <c r="J893" s="21"/>
      <c r="K893" s="21"/>
      <c r="L893"/>
      <c r="M893"/>
    </row>
    <row r="894" spans="10:13" x14ac:dyDescent="0.35">
      <c r="J894" s="21"/>
      <c r="K894" s="21"/>
      <c r="L894"/>
      <c r="M894"/>
    </row>
    <row r="895" spans="10:13" x14ac:dyDescent="0.35">
      <c r="J895" s="21"/>
      <c r="K895" s="21"/>
      <c r="L895"/>
      <c r="M895"/>
    </row>
    <row r="896" spans="10:13" x14ac:dyDescent="0.35">
      <c r="J896" s="21"/>
      <c r="K896" s="21"/>
      <c r="L896"/>
      <c r="M896"/>
    </row>
    <row r="897" spans="10:13" x14ac:dyDescent="0.35">
      <c r="J897" s="21"/>
      <c r="K897" s="21"/>
      <c r="L897"/>
      <c r="M897"/>
    </row>
    <row r="898" spans="10:13" x14ac:dyDescent="0.35">
      <c r="J898" s="21"/>
      <c r="K898" s="21"/>
      <c r="L898"/>
      <c r="M898"/>
    </row>
    <row r="899" spans="10:13" x14ac:dyDescent="0.35">
      <c r="J899" s="21"/>
      <c r="K899" s="21"/>
      <c r="L899"/>
      <c r="M899"/>
    </row>
    <row r="900" spans="10:13" x14ac:dyDescent="0.35">
      <c r="J900" s="21"/>
      <c r="K900" s="21"/>
      <c r="L900"/>
      <c r="M900"/>
    </row>
    <row r="901" spans="10:13" x14ac:dyDescent="0.35">
      <c r="J901" s="21"/>
      <c r="K901" s="21"/>
      <c r="L901"/>
      <c r="M901"/>
    </row>
    <row r="902" spans="10:13" x14ac:dyDescent="0.35">
      <c r="J902" s="21"/>
      <c r="K902" s="21"/>
      <c r="L902"/>
      <c r="M902"/>
    </row>
    <row r="903" spans="10:13" x14ac:dyDescent="0.35">
      <c r="J903" s="21"/>
      <c r="K903" s="21"/>
      <c r="L903"/>
      <c r="M903"/>
    </row>
    <row r="904" spans="10:13" x14ac:dyDescent="0.35">
      <c r="J904" s="21"/>
      <c r="K904" s="21"/>
      <c r="L904"/>
      <c r="M904"/>
    </row>
    <row r="905" spans="10:13" x14ac:dyDescent="0.35">
      <c r="J905" s="21"/>
      <c r="K905" s="21"/>
      <c r="L905"/>
      <c r="M905"/>
    </row>
    <row r="906" spans="10:13" x14ac:dyDescent="0.35">
      <c r="J906" s="21"/>
      <c r="K906" s="21"/>
      <c r="L906"/>
      <c r="M906"/>
    </row>
    <row r="907" spans="10:13" x14ac:dyDescent="0.35">
      <c r="J907" s="21"/>
      <c r="K907" s="21"/>
      <c r="L907"/>
      <c r="M907"/>
    </row>
    <row r="908" spans="10:13" x14ac:dyDescent="0.35">
      <c r="J908" s="21"/>
      <c r="K908" s="21"/>
      <c r="L908"/>
      <c r="M908"/>
    </row>
    <row r="909" spans="10:13" x14ac:dyDescent="0.35">
      <c r="J909" s="21"/>
      <c r="K909" s="21"/>
      <c r="L909"/>
      <c r="M909"/>
    </row>
    <row r="910" spans="10:13" x14ac:dyDescent="0.35">
      <c r="J910" s="21"/>
      <c r="K910" s="21"/>
      <c r="L910"/>
      <c r="M910"/>
    </row>
    <row r="911" spans="10:13" x14ac:dyDescent="0.35">
      <c r="J911" s="21"/>
      <c r="K911" s="21"/>
      <c r="L911"/>
      <c r="M911"/>
    </row>
    <row r="912" spans="10:13" x14ac:dyDescent="0.35">
      <c r="J912" s="21"/>
      <c r="K912" s="21"/>
      <c r="L912"/>
      <c r="M912"/>
    </row>
    <row r="913" spans="10:13" x14ac:dyDescent="0.35">
      <c r="J913" s="21"/>
      <c r="K913" s="21"/>
      <c r="L913"/>
      <c r="M913"/>
    </row>
    <row r="914" spans="10:13" x14ac:dyDescent="0.35">
      <c r="J914" s="21"/>
      <c r="K914" s="21"/>
      <c r="L914"/>
      <c r="M914"/>
    </row>
    <row r="915" spans="10:13" x14ac:dyDescent="0.35">
      <c r="J915" s="21"/>
      <c r="K915" s="21"/>
      <c r="L915"/>
      <c r="M915"/>
    </row>
    <row r="916" spans="10:13" x14ac:dyDescent="0.35">
      <c r="J916" s="21"/>
      <c r="K916" s="21"/>
      <c r="L916"/>
      <c r="M916"/>
    </row>
    <row r="917" spans="10:13" x14ac:dyDescent="0.35">
      <c r="J917" s="21"/>
      <c r="K917" s="21"/>
      <c r="L917"/>
      <c r="M917"/>
    </row>
    <row r="918" spans="10:13" x14ac:dyDescent="0.35">
      <c r="J918" s="21"/>
      <c r="K918" s="21"/>
      <c r="L918"/>
      <c r="M918"/>
    </row>
    <row r="919" spans="10:13" x14ac:dyDescent="0.35">
      <c r="J919" s="21"/>
      <c r="K919" s="21"/>
      <c r="L919"/>
      <c r="M919"/>
    </row>
    <row r="920" spans="10:13" x14ac:dyDescent="0.35">
      <c r="J920" s="21"/>
      <c r="K920" s="21"/>
      <c r="L920"/>
      <c r="M920"/>
    </row>
    <row r="921" spans="10:13" x14ac:dyDescent="0.35">
      <c r="J921" s="21"/>
      <c r="K921" s="21"/>
      <c r="L921"/>
      <c r="M921"/>
    </row>
    <row r="922" spans="10:13" x14ac:dyDescent="0.35">
      <c r="J922" s="21"/>
      <c r="K922" s="21"/>
      <c r="L922"/>
      <c r="M922"/>
    </row>
    <row r="923" spans="10:13" x14ac:dyDescent="0.35">
      <c r="J923" s="21"/>
      <c r="K923" s="21"/>
      <c r="L923"/>
      <c r="M923"/>
    </row>
    <row r="924" spans="10:13" x14ac:dyDescent="0.35">
      <c r="J924" s="21"/>
      <c r="K924" s="21"/>
      <c r="L924"/>
      <c r="M924"/>
    </row>
    <row r="925" spans="10:13" x14ac:dyDescent="0.35">
      <c r="J925" s="21"/>
      <c r="K925" s="21"/>
      <c r="L925"/>
      <c r="M925"/>
    </row>
    <row r="926" spans="10:13" x14ac:dyDescent="0.35">
      <c r="J926" s="21"/>
      <c r="K926" s="21"/>
      <c r="L926"/>
      <c r="M926"/>
    </row>
    <row r="927" spans="10:13" x14ac:dyDescent="0.35">
      <c r="J927" s="21"/>
      <c r="K927" s="21"/>
      <c r="L927"/>
      <c r="M927"/>
    </row>
    <row r="928" spans="10:13" x14ac:dyDescent="0.35">
      <c r="J928" s="21"/>
      <c r="K928" s="21"/>
      <c r="L928"/>
      <c r="M928"/>
    </row>
    <row r="929" spans="10:13" x14ac:dyDescent="0.35">
      <c r="J929" s="21"/>
      <c r="K929" s="21"/>
      <c r="L929"/>
      <c r="M929"/>
    </row>
    <row r="930" spans="10:13" x14ac:dyDescent="0.35">
      <c r="J930" s="21"/>
      <c r="K930" s="21"/>
      <c r="L930"/>
      <c r="M930"/>
    </row>
    <row r="931" spans="10:13" x14ac:dyDescent="0.35">
      <c r="J931" s="21"/>
      <c r="K931" s="21"/>
      <c r="L931"/>
      <c r="M931"/>
    </row>
    <row r="932" spans="10:13" x14ac:dyDescent="0.35">
      <c r="J932" s="21"/>
      <c r="K932" s="21"/>
      <c r="L932"/>
      <c r="M932"/>
    </row>
    <row r="933" spans="10:13" x14ac:dyDescent="0.35">
      <c r="J933" s="21"/>
      <c r="K933" s="21"/>
      <c r="L933"/>
      <c r="M933"/>
    </row>
    <row r="934" spans="10:13" x14ac:dyDescent="0.35">
      <c r="J934" s="21"/>
      <c r="K934" s="21"/>
      <c r="L934"/>
      <c r="M934"/>
    </row>
    <row r="935" spans="10:13" x14ac:dyDescent="0.35">
      <c r="J935" s="21"/>
      <c r="K935" s="21"/>
      <c r="L935"/>
      <c r="M935"/>
    </row>
    <row r="936" spans="10:13" x14ac:dyDescent="0.35">
      <c r="J936" s="21"/>
      <c r="K936" s="21"/>
      <c r="L936"/>
      <c r="M936"/>
    </row>
    <row r="937" spans="10:13" x14ac:dyDescent="0.35">
      <c r="J937" s="21"/>
      <c r="K937" s="21"/>
      <c r="L937"/>
      <c r="M937"/>
    </row>
    <row r="938" spans="10:13" x14ac:dyDescent="0.35">
      <c r="J938" s="21"/>
      <c r="K938" s="21"/>
      <c r="L938"/>
      <c r="M938"/>
    </row>
    <row r="939" spans="10:13" x14ac:dyDescent="0.35">
      <c r="J939" s="21"/>
      <c r="K939" s="21"/>
      <c r="L939"/>
      <c r="M939"/>
    </row>
    <row r="940" spans="10:13" x14ac:dyDescent="0.35">
      <c r="J940" s="21"/>
      <c r="K940" s="21"/>
      <c r="L940"/>
      <c r="M940"/>
    </row>
    <row r="941" spans="10:13" x14ac:dyDescent="0.35">
      <c r="J941" s="21"/>
      <c r="K941" s="21"/>
      <c r="L941"/>
      <c r="M941"/>
    </row>
    <row r="942" spans="10:13" x14ac:dyDescent="0.35">
      <c r="J942" s="21"/>
      <c r="K942" s="21"/>
      <c r="L942"/>
      <c r="M942"/>
    </row>
    <row r="943" spans="10:13" x14ac:dyDescent="0.35">
      <c r="J943" s="21"/>
      <c r="K943" s="21"/>
      <c r="L943"/>
      <c r="M943"/>
    </row>
    <row r="944" spans="10:13" x14ac:dyDescent="0.35">
      <c r="J944" s="21"/>
      <c r="K944" s="21"/>
      <c r="L944"/>
      <c r="M944"/>
    </row>
    <row r="945" spans="10:13" x14ac:dyDescent="0.35">
      <c r="J945" s="21"/>
      <c r="K945" s="21"/>
      <c r="L945"/>
      <c r="M945"/>
    </row>
    <row r="946" spans="10:13" x14ac:dyDescent="0.35">
      <c r="J946" s="21"/>
      <c r="K946" s="21"/>
      <c r="L946"/>
      <c r="M946"/>
    </row>
    <row r="947" spans="10:13" x14ac:dyDescent="0.35">
      <c r="J947" s="21"/>
      <c r="K947" s="21"/>
      <c r="L947"/>
      <c r="M947"/>
    </row>
    <row r="948" spans="10:13" x14ac:dyDescent="0.35">
      <c r="J948" s="21"/>
      <c r="K948" s="21"/>
      <c r="L948"/>
      <c r="M948"/>
    </row>
    <row r="949" spans="10:13" x14ac:dyDescent="0.35">
      <c r="J949" s="21"/>
      <c r="K949" s="21"/>
      <c r="L949"/>
      <c r="M949"/>
    </row>
    <row r="950" spans="10:13" x14ac:dyDescent="0.35">
      <c r="J950" s="21"/>
      <c r="K950" s="21"/>
      <c r="L950"/>
      <c r="M950"/>
    </row>
    <row r="951" spans="10:13" x14ac:dyDescent="0.35">
      <c r="J951" s="21"/>
      <c r="K951" s="21"/>
      <c r="L951"/>
      <c r="M951"/>
    </row>
    <row r="952" spans="10:13" x14ac:dyDescent="0.35">
      <c r="J952" s="21"/>
      <c r="K952" s="21"/>
      <c r="L952"/>
      <c r="M952"/>
    </row>
    <row r="953" spans="10:13" x14ac:dyDescent="0.35">
      <c r="J953" s="21"/>
      <c r="K953" s="21"/>
      <c r="L953"/>
      <c r="M953"/>
    </row>
    <row r="954" spans="10:13" x14ac:dyDescent="0.35">
      <c r="J954" s="21"/>
      <c r="K954" s="21"/>
      <c r="L954"/>
      <c r="M954"/>
    </row>
    <row r="955" spans="10:13" x14ac:dyDescent="0.35">
      <c r="J955" s="21"/>
      <c r="K955" s="21"/>
      <c r="L955"/>
      <c r="M955"/>
    </row>
    <row r="956" spans="10:13" x14ac:dyDescent="0.35">
      <c r="J956" s="21"/>
      <c r="K956" s="21"/>
      <c r="L956"/>
      <c r="M956"/>
    </row>
    <row r="957" spans="10:13" x14ac:dyDescent="0.35">
      <c r="J957" s="21"/>
      <c r="K957" s="21"/>
      <c r="L957"/>
      <c r="M957"/>
    </row>
    <row r="958" spans="10:13" x14ac:dyDescent="0.35">
      <c r="J958" s="21"/>
      <c r="K958" s="21"/>
      <c r="L958"/>
      <c r="M958"/>
    </row>
    <row r="959" spans="10:13" x14ac:dyDescent="0.35">
      <c r="J959" s="21"/>
      <c r="K959" s="21"/>
      <c r="L959"/>
      <c r="M959"/>
    </row>
    <row r="960" spans="10:13" x14ac:dyDescent="0.35">
      <c r="J960" s="21"/>
      <c r="K960" s="21"/>
      <c r="L960"/>
      <c r="M960"/>
    </row>
    <row r="961" spans="10:13" x14ac:dyDescent="0.35">
      <c r="J961" s="21"/>
      <c r="K961" s="21"/>
      <c r="L961"/>
      <c r="M961"/>
    </row>
    <row r="962" spans="10:13" x14ac:dyDescent="0.35">
      <c r="J962" s="21"/>
      <c r="K962" s="21"/>
      <c r="L962"/>
      <c r="M962"/>
    </row>
    <row r="963" spans="10:13" x14ac:dyDescent="0.35">
      <c r="J963" s="21"/>
      <c r="K963" s="21"/>
      <c r="L963"/>
      <c r="M963"/>
    </row>
    <row r="964" spans="10:13" x14ac:dyDescent="0.35">
      <c r="J964" s="21"/>
      <c r="K964" s="21"/>
      <c r="L964"/>
      <c r="M964"/>
    </row>
    <row r="965" spans="10:13" x14ac:dyDescent="0.35">
      <c r="J965" s="21"/>
      <c r="K965" s="21"/>
      <c r="L965"/>
      <c r="M965"/>
    </row>
    <row r="966" spans="10:13" x14ac:dyDescent="0.35">
      <c r="J966" s="21"/>
      <c r="K966" s="21"/>
      <c r="L966"/>
      <c r="M966"/>
    </row>
    <row r="967" spans="10:13" x14ac:dyDescent="0.35">
      <c r="J967" s="21"/>
      <c r="K967" s="21"/>
      <c r="L967"/>
      <c r="M967"/>
    </row>
    <row r="968" spans="10:13" x14ac:dyDescent="0.35">
      <c r="J968" s="21"/>
      <c r="K968" s="21"/>
      <c r="L968"/>
      <c r="M968"/>
    </row>
    <row r="969" spans="10:13" x14ac:dyDescent="0.35">
      <c r="J969" s="21"/>
      <c r="K969" s="21"/>
      <c r="L969"/>
      <c r="M969"/>
    </row>
    <row r="970" spans="10:13" x14ac:dyDescent="0.35">
      <c r="J970" s="21"/>
      <c r="K970" s="21"/>
      <c r="L970"/>
      <c r="M970"/>
    </row>
    <row r="971" spans="10:13" x14ac:dyDescent="0.35">
      <c r="J971" s="21"/>
      <c r="K971" s="21"/>
      <c r="L971"/>
      <c r="M971"/>
    </row>
    <row r="972" spans="10:13" x14ac:dyDescent="0.35">
      <c r="J972" s="21"/>
      <c r="K972" s="21"/>
      <c r="L972"/>
      <c r="M972"/>
    </row>
    <row r="973" spans="10:13" x14ac:dyDescent="0.35">
      <c r="J973" s="21"/>
      <c r="K973" s="21"/>
      <c r="L973"/>
      <c r="M973"/>
    </row>
    <row r="974" spans="10:13" x14ac:dyDescent="0.35">
      <c r="J974" s="21"/>
      <c r="K974" s="21"/>
      <c r="L974"/>
      <c r="M974"/>
    </row>
    <row r="975" spans="10:13" x14ac:dyDescent="0.35">
      <c r="J975" s="21"/>
      <c r="K975" s="21"/>
      <c r="L975"/>
      <c r="M975"/>
    </row>
    <row r="976" spans="10:13" x14ac:dyDescent="0.35">
      <c r="J976" s="21"/>
      <c r="K976" s="21"/>
      <c r="L976"/>
      <c r="M976"/>
    </row>
    <row r="977" spans="10:13" x14ac:dyDescent="0.35">
      <c r="J977" s="21"/>
      <c r="K977" s="21"/>
      <c r="L977"/>
      <c r="M977"/>
    </row>
    <row r="978" spans="10:13" x14ac:dyDescent="0.35">
      <c r="J978" s="21"/>
      <c r="K978" s="21"/>
      <c r="L978"/>
      <c r="M978"/>
    </row>
    <row r="979" spans="10:13" x14ac:dyDescent="0.35">
      <c r="J979" s="21"/>
      <c r="K979" s="21"/>
      <c r="L979"/>
      <c r="M979"/>
    </row>
    <row r="980" spans="10:13" x14ac:dyDescent="0.35">
      <c r="J980" s="21"/>
      <c r="K980" s="21"/>
      <c r="L980"/>
      <c r="M980"/>
    </row>
    <row r="981" spans="10:13" x14ac:dyDescent="0.35">
      <c r="J981" s="21"/>
      <c r="K981" s="21"/>
      <c r="L981"/>
      <c r="M981"/>
    </row>
    <row r="982" spans="10:13" x14ac:dyDescent="0.35">
      <c r="J982" s="21"/>
      <c r="K982" s="21"/>
      <c r="L982"/>
      <c r="M982"/>
    </row>
    <row r="983" spans="10:13" x14ac:dyDescent="0.35">
      <c r="J983" s="21"/>
      <c r="K983" s="21"/>
      <c r="L983"/>
      <c r="M983"/>
    </row>
    <row r="984" spans="10:13" x14ac:dyDescent="0.35">
      <c r="J984" s="21"/>
      <c r="K984" s="21"/>
      <c r="L984"/>
      <c r="M984"/>
    </row>
    <row r="985" spans="10:13" x14ac:dyDescent="0.35">
      <c r="J985" s="21"/>
      <c r="K985" s="21"/>
      <c r="L985"/>
      <c r="M985"/>
    </row>
    <row r="986" spans="10:13" x14ac:dyDescent="0.35">
      <c r="J986" s="21"/>
      <c r="K986" s="21"/>
      <c r="L986"/>
      <c r="M986"/>
    </row>
    <row r="987" spans="10:13" x14ac:dyDescent="0.35">
      <c r="J987" s="21"/>
      <c r="K987" s="21"/>
      <c r="L987"/>
      <c r="M987"/>
    </row>
    <row r="988" spans="10:13" x14ac:dyDescent="0.35">
      <c r="J988" s="21"/>
      <c r="K988" s="21"/>
      <c r="L988"/>
      <c r="M988"/>
    </row>
    <row r="989" spans="10:13" x14ac:dyDescent="0.35">
      <c r="J989" s="21"/>
      <c r="K989" s="21"/>
      <c r="L989"/>
      <c r="M989"/>
    </row>
    <row r="990" spans="10:13" x14ac:dyDescent="0.35">
      <c r="J990" s="21"/>
      <c r="K990" s="21"/>
      <c r="L990"/>
      <c r="M990"/>
    </row>
    <row r="991" spans="10:13" x14ac:dyDescent="0.35">
      <c r="J991" s="21"/>
      <c r="K991" s="21"/>
      <c r="L991"/>
      <c r="M991"/>
    </row>
    <row r="992" spans="10:13" x14ac:dyDescent="0.35">
      <c r="J992" s="21"/>
      <c r="K992" s="21"/>
      <c r="L992"/>
      <c r="M992"/>
    </row>
    <row r="993" spans="10:13" x14ac:dyDescent="0.35">
      <c r="J993" s="21"/>
      <c r="K993" s="21"/>
      <c r="L993"/>
      <c r="M993"/>
    </row>
    <row r="994" spans="10:13" x14ac:dyDescent="0.35">
      <c r="J994" s="21"/>
      <c r="K994" s="21"/>
      <c r="L994"/>
      <c r="M994"/>
    </row>
    <row r="995" spans="10:13" x14ac:dyDescent="0.35">
      <c r="J995" s="21"/>
      <c r="K995" s="21"/>
      <c r="L995"/>
      <c r="M995"/>
    </row>
    <row r="996" spans="10:13" x14ac:dyDescent="0.35">
      <c r="J996" s="21"/>
      <c r="K996" s="21"/>
      <c r="L996"/>
      <c r="M996"/>
    </row>
    <row r="997" spans="10:13" x14ac:dyDescent="0.35">
      <c r="J997" s="21"/>
      <c r="K997" s="21"/>
      <c r="L997"/>
      <c r="M997"/>
    </row>
    <row r="998" spans="10:13" x14ac:dyDescent="0.35">
      <c r="J998" s="21"/>
      <c r="K998" s="21"/>
      <c r="L998"/>
      <c r="M998"/>
    </row>
    <row r="999" spans="10:13" x14ac:dyDescent="0.35">
      <c r="J999" s="21"/>
      <c r="K999" s="21"/>
      <c r="L999"/>
      <c r="M999"/>
    </row>
    <row r="1000" spans="10:13" x14ac:dyDescent="0.35">
      <c r="J1000" s="21"/>
      <c r="K1000" s="21"/>
      <c r="L1000"/>
      <c r="M1000"/>
    </row>
    <row r="1001" spans="10:13" x14ac:dyDescent="0.35">
      <c r="J1001" s="21"/>
      <c r="K1001" s="21"/>
      <c r="L1001"/>
      <c r="M1001"/>
    </row>
    <row r="1002" spans="10:13" x14ac:dyDescent="0.35">
      <c r="J1002" s="21"/>
      <c r="K1002" s="21"/>
      <c r="L1002"/>
      <c r="M1002"/>
    </row>
    <row r="1003" spans="10:13" x14ac:dyDescent="0.35">
      <c r="J1003" s="21"/>
      <c r="K1003" s="21"/>
      <c r="L1003"/>
      <c r="M1003"/>
    </row>
    <row r="1004" spans="10:13" x14ac:dyDescent="0.35">
      <c r="J1004" s="21"/>
      <c r="K1004" s="21"/>
      <c r="L1004"/>
      <c r="M1004"/>
    </row>
    <row r="1005" spans="10:13" x14ac:dyDescent="0.35">
      <c r="J1005" s="21"/>
      <c r="K1005" s="21"/>
      <c r="L1005"/>
      <c r="M1005"/>
    </row>
    <row r="1006" spans="10:13" x14ac:dyDescent="0.35">
      <c r="J1006" s="21"/>
      <c r="K1006" s="21"/>
      <c r="L1006"/>
      <c r="M1006"/>
    </row>
    <row r="1007" spans="10:13" x14ac:dyDescent="0.35">
      <c r="J1007" s="21"/>
      <c r="K1007" s="21"/>
      <c r="L1007"/>
      <c r="M1007"/>
    </row>
    <row r="1008" spans="10:13" x14ac:dyDescent="0.35">
      <c r="J1008" s="21"/>
      <c r="K1008" s="21"/>
      <c r="L1008"/>
      <c r="M1008"/>
    </row>
    <row r="1009" spans="10:13" x14ac:dyDescent="0.35">
      <c r="J1009" s="21"/>
      <c r="K1009" s="21"/>
      <c r="L1009"/>
      <c r="M1009"/>
    </row>
    <row r="1010" spans="10:13" x14ac:dyDescent="0.35">
      <c r="J1010" s="21"/>
      <c r="K1010" s="21"/>
      <c r="L1010"/>
      <c r="M1010"/>
    </row>
    <row r="1011" spans="10:13" x14ac:dyDescent="0.35">
      <c r="J1011" s="21"/>
      <c r="K1011" s="21"/>
      <c r="L1011"/>
      <c r="M1011"/>
    </row>
    <row r="1012" spans="10:13" x14ac:dyDescent="0.35">
      <c r="J1012" s="21"/>
      <c r="K1012" s="21"/>
      <c r="L1012"/>
      <c r="M1012"/>
    </row>
    <row r="1013" spans="10:13" x14ac:dyDescent="0.35">
      <c r="J1013" s="21"/>
      <c r="K1013" s="21"/>
      <c r="L1013"/>
      <c r="M1013"/>
    </row>
    <row r="1014" spans="10:13" x14ac:dyDescent="0.35">
      <c r="J1014" s="21"/>
      <c r="K1014" s="21"/>
      <c r="L1014"/>
      <c r="M1014"/>
    </row>
    <row r="1015" spans="10:13" x14ac:dyDescent="0.35">
      <c r="J1015" s="21"/>
      <c r="K1015" s="21"/>
      <c r="L1015"/>
      <c r="M1015"/>
    </row>
    <row r="1016" spans="10:13" x14ac:dyDescent="0.35">
      <c r="J1016" s="21"/>
      <c r="K1016" s="21"/>
      <c r="L1016"/>
      <c r="M1016"/>
    </row>
    <row r="1017" spans="10:13" x14ac:dyDescent="0.35">
      <c r="J1017" s="21"/>
      <c r="K1017" s="21"/>
      <c r="L1017"/>
      <c r="M1017"/>
    </row>
    <row r="1018" spans="10:13" x14ac:dyDescent="0.35">
      <c r="J1018" s="21"/>
      <c r="K1018" s="21"/>
      <c r="L1018"/>
      <c r="M1018"/>
    </row>
    <row r="1019" spans="10:13" x14ac:dyDescent="0.35">
      <c r="J1019" s="21"/>
      <c r="K1019" s="21"/>
      <c r="L1019"/>
      <c r="M1019"/>
    </row>
    <row r="1020" spans="10:13" x14ac:dyDescent="0.35">
      <c r="J1020" s="21"/>
      <c r="K1020" s="21"/>
      <c r="L1020"/>
      <c r="M1020"/>
    </row>
    <row r="1021" spans="10:13" x14ac:dyDescent="0.35">
      <c r="J1021" s="21"/>
      <c r="K1021" s="21"/>
      <c r="L1021"/>
      <c r="M1021"/>
    </row>
    <row r="1022" spans="10:13" x14ac:dyDescent="0.35">
      <c r="J1022" s="21"/>
      <c r="K1022" s="21"/>
      <c r="L1022"/>
      <c r="M1022"/>
    </row>
    <row r="1023" spans="10:13" x14ac:dyDescent="0.35">
      <c r="J1023" s="21"/>
      <c r="K1023" s="21"/>
      <c r="L1023"/>
      <c r="M1023"/>
    </row>
    <row r="1024" spans="10:13" x14ac:dyDescent="0.35">
      <c r="J1024" s="21"/>
      <c r="K1024" s="21"/>
      <c r="L1024"/>
      <c r="M1024"/>
    </row>
    <row r="1025" spans="10:13" x14ac:dyDescent="0.35">
      <c r="J1025" s="21"/>
      <c r="K1025" s="21"/>
      <c r="L1025"/>
      <c r="M1025"/>
    </row>
    <row r="1026" spans="10:13" x14ac:dyDescent="0.35">
      <c r="J1026" s="21"/>
      <c r="K1026" s="21"/>
      <c r="L1026"/>
      <c r="M1026"/>
    </row>
    <row r="1027" spans="10:13" x14ac:dyDescent="0.35">
      <c r="J1027" s="21"/>
      <c r="K1027" s="21"/>
      <c r="L1027"/>
      <c r="M1027"/>
    </row>
    <row r="1028" spans="10:13" x14ac:dyDescent="0.35">
      <c r="J1028" s="21"/>
      <c r="K1028" s="21"/>
      <c r="L1028"/>
      <c r="M1028"/>
    </row>
    <row r="1029" spans="10:13" x14ac:dyDescent="0.35">
      <c r="J1029" s="21"/>
      <c r="K1029" s="21"/>
      <c r="L1029"/>
      <c r="M1029"/>
    </row>
    <row r="1030" spans="10:13" x14ac:dyDescent="0.35">
      <c r="J1030" s="21"/>
      <c r="K1030" s="21"/>
      <c r="L1030"/>
      <c r="M1030"/>
    </row>
    <row r="1031" spans="10:13" x14ac:dyDescent="0.35">
      <c r="J1031" s="21"/>
      <c r="K1031" s="21"/>
      <c r="L1031"/>
      <c r="M1031"/>
    </row>
    <row r="1032" spans="10:13" x14ac:dyDescent="0.35">
      <c r="J1032" s="21"/>
      <c r="K1032" s="21"/>
      <c r="L1032"/>
      <c r="M1032"/>
    </row>
  </sheetData>
  <conditionalFormatting sqref="D37:F143">
    <cfRule type="expression" dxfId="13" priority="10">
      <formula>ISNUMBER(D37)=FALSE</formula>
    </cfRule>
  </conditionalFormatting>
  <conditionalFormatting sqref="F27">
    <cfRule type="expression" dxfId="12" priority="9">
      <formula>F27&lt;&gt;""</formula>
    </cfRule>
  </conditionalFormatting>
  <conditionalFormatting sqref="D31:F35">
    <cfRule type="expression" dxfId="11" priority="8">
      <formula>ISNUMBER(D31)=FALSE</formula>
    </cfRule>
  </conditionalFormatting>
  <conditionalFormatting sqref="K4:K6">
    <cfRule type="expression" dxfId="10" priority="11">
      <formula>AND( F4 &lt;&gt; "su", F4 &lt;&gt; "b" )</formula>
    </cfRule>
  </conditionalFormatting>
  <conditionalFormatting sqref="G4:G6">
    <cfRule type="expression" dxfId="9" priority="12">
      <formula>AND( F4 &lt;&gt; "sl", F4 &lt;&gt; "b" )</formula>
    </cfRule>
  </conditionalFormatting>
  <conditionalFormatting sqref="L4:L6">
    <cfRule type="expression" dxfId="8" priority="7">
      <formula>L4&lt;&gt;""</formula>
    </cfRule>
  </conditionalFormatting>
  <conditionalFormatting sqref="E27">
    <cfRule type="expression" dxfId="7" priority="13">
      <formula>AND( F25 &lt;&gt; "su", F25 &lt;&gt; "b" )</formula>
    </cfRule>
  </conditionalFormatting>
  <conditionalFormatting sqref="D26:D27">
    <cfRule type="expression" dxfId="6" priority="14">
      <formula>AND( F25 &lt;&gt; "sl", F25 &lt;&gt; "b" )</formula>
    </cfRule>
  </conditionalFormatting>
  <conditionalFormatting sqref="K7">
    <cfRule type="expression" dxfId="5" priority="5">
      <formula>AND( F7 &lt;&gt; "su", F7 &lt;&gt; "b" )</formula>
    </cfRule>
  </conditionalFormatting>
  <conditionalFormatting sqref="G7">
    <cfRule type="expression" dxfId="4" priority="6">
      <formula>AND( F7 &lt;&gt; "sl", F7 &lt;&gt; "b" )</formula>
    </cfRule>
  </conditionalFormatting>
  <conditionalFormatting sqref="L7">
    <cfRule type="expression" dxfId="3" priority="4">
      <formula>L7&lt;&gt;""</formula>
    </cfRule>
  </conditionalFormatting>
  <conditionalFormatting sqref="H39:I143">
    <cfRule type="expression" dxfId="2" priority="1">
      <formula>ISERROR(H39)</formula>
    </cfRule>
  </conditionalFormatting>
  <conditionalFormatting sqref="H37:K37">
    <cfRule type="expression" dxfId="1" priority="3">
      <formula>ISERROR(H37)</formula>
    </cfRule>
  </conditionalFormatting>
  <conditionalFormatting sqref="H38:K38 J39:K143">
    <cfRule type="expression" dxfId="0" priority="2">
      <formula>ISERROR(H38)</formula>
    </cfRule>
  </conditionalFormatting>
  <dataValidations count="1">
    <dataValidation type="list" allowBlank="1" showInputMessage="1" showErrorMessage="1" sqref="F25 F4:F7" xr:uid="{00000000-0002-0000-0000-000000000000}">
      <formula1>"u, sl, su, b"</formula1>
    </dataValidation>
  </dataValidations>
  <hyperlinks>
    <hyperlink ref="N2" r:id="rId1" xr:uid="{00000000-0004-0000-0000-000000000000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horizontal one-line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Corporate Edition</cp:lastModifiedBy>
  <dcterms:created xsi:type="dcterms:W3CDTF">2019-07-06T15:26:51Z</dcterms:created>
  <dcterms:modified xsi:type="dcterms:W3CDTF">2019-12-10T23:23:00Z</dcterms:modified>
</cp:coreProperties>
</file>